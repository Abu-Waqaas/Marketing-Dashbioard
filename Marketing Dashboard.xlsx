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bu Waqqaas\Dataset\Excel Dataset\"/>
    </mc:Choice>
  </mc:AlternateContent>
  <xr:revisionPtr revIDLastSave="0" documentId="13_ncr:1_{D43A18BF-A6BE-4054-B545-5C0599F38205}" xr6:coauthVersionLast="47" xr6:coauthVersionMax="47" xr10:uidLastSave="{00000000-0000-0000-0000-000000000000}"/>
  <bookViews>
    <workbookView xWindow="-120" yWindow="-120" windowWidth="20730" windowHeight="11040" activeTab="2" xr2:uid="{7AD2AC5F-8508-44F6-AE69-B9BF8735ECEE}"/>
  </bookViews>
  <sheets>
    <sheet name="Sheet1" sheetId="1" r:id="rId1"/>
    <sheet name="Analysis" sheetId="2" r:id="rId2"/>
    <sheet name="Dashboard" sheetId="3" r:id="rId3"/>
    <sheet name="Sheet5" sheetId="5" r:id="rId4"/>
    <sheet name="Sheet4" sheetId="4" r:id="rId5"/>
  </sheets>
  <calcPr calcId="191029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D18" i="1"/>
  <c r="C18" i="1"/>
  <c r="E5" i="2"/>
  <c r="G8" i="2"/>
  <c r="I5" i="2"/>
  <c r="G5" i="2"/>
</calcChain>
</file>

<file path=xl/sharedStrings.xml><?xml version="1.0" encoding="utf-8"?>
<sst xmlns="http://schemas.openxmlformats.org/spreadsheetml/2006/main" count="322" uniqueCount="54">
  <si>
    <t>Year</t>
  </si>
  <si>
    <t>Month</t>
  </si>
  <si>
    <t>Revenue Growth Rate (%)</t>
  </si>
  <si>
    <t>Sales Projection ($)</t>
  </si>
  <si>
    <t>Number of Customers</t>
  </si>
  <si>
    <t>Customer Acquisition Rate (%)</t>
  </si>
  <si>
    <t>Customer Lifetime Value ($)</t>
  </si>
  <si>
    <t>Customer Retention Rate (%)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</si>
  <si>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</si>
  <si>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</si>
  <si>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</si>
  <si>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</si>
  <si>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</si>
  <si>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</si>
  <si>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</si>
  <si>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</si>
  <si>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</si>
  <si>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</si>
  <si>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</si>
  <si>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</si>
  <si>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</si>
  <si>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 xml:space="preserve"> View count</t>
  </si>
  <si>
    <t>Row Labels</t>
  </si>
  <si>
    <t>Grand Total</t>
  </si>
  <si>
    <t>Customer Churn Rate (%)</t>
  </si>
  <si>
    <t>Cost of each Click ($)</t>
  </si>
  <si>
    <t>total view count</t>
  </si>
  <si>
    <t>Sum of Number of Customers</t>
  </si>
  <si>
    <t>Aveg of Customer Acquisition Rate (%)</t>
  </si>
  <si>
    <t>Number of Customer</t>
  </si>
  <si>
    <t>Sum of Sales Projection ($)</t>
  </si>
  <si>
    <t>Average of Sales Projection ($)</t>
  </si>
  <si>
    <t>AVERAGE CAR %</t>
  </si>
  <si>
    <t>AVERAGE CRR %</t>
  </si>
  <si>
    <t>Market Share (%)</t>
  </si>
  <si>
    <t>Total Market Share (%)</t>
  </si>
  <si>
    <t>Campaign id</t>
  </si>
  <si>
    <t>Channel</t>
  </si>
  <si>
    <t>Campaign Start_date</t>
  </si>
  <si>
    <t>Campaign end_date</t>
  </si>
  <si>
    <t>Cost of campaign</t>
  </si>
  <si>
    <t>Campaign Reach</t>
  </si>
  <si>
    <t>Channel Used</t>
  </si>
  <si>
    <t>Number of clicks</t>
  </si>
  <si>
    <t>Billboard</t>
  </si>
  <si>
    <t>Facebook ads</t>
  </si>
  <si>
    <t>instagram ads</t>
  </si>
  <si>
    <t>Twitter ads</t>
  </si>
  <si>
    <t>Socialmedia</t>
  </si>
  <si>
    <t>Billpost</t>
  </si>
  <si>
    <t>Googleads</t>
  </si>
  <si>
    <t>E-mail</t>
  </si>
  <si>
    <t>Referral</t>
  </si>
  <si>
    <t>Count of Channel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</si>
</sst>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74151"/>
      <name val="Times New Roman"/>
      <family val="1"/>
    </font>
    <font>
      <sz val="11"/>
      <color rgb="FF374151"/>
      <name val="Segoe UI"/>
      <family val="2"/>
    </font>
    <font>
      <sz val="11"/>
      <color theme="1"/>
      <name val="Times New Roman"/>
      <family val="1"/>
    </font>
    <font>
      <sz val="11"/>
      <color rgb="FF2021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9D9E3"/>
      </top>
      <bottom style="medium">
        <color rgb="FFD9D9E3"/>
      </bottom>
      <diagonal/>
    </border>
    <border>
      <left/>
      <right/>
      <top/>
      <bottom style="medium">
        <color rgb="FFD9D9E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2" fontId="2" fillId="2" borderId="2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3" fontId="3" fillId="2" borderId="3" xfId="0" applyNumberFormat="1" applyFont="1" applyFill="1" applyBorder="1" applyAlignment="1">
      <alignment vertical="center" wrapText="1"/>
    </xf>
    <xf numFmtId="3" fontId="4" fillId="2" borderId="0" xfId="0" applyNumberFormat="1" applyFont="1" applyFill="1" applyAlignment="1">
      <alignment wrapText="1"/>
    </xf>
    <xf numFmtId="4" fontId="4" fillId="2" borderId="0" xfId="0" applyNumberFormat="1" applyFont="1" applyFill="1" applyAlignment="1">
      <alignment wrapText="1"/>
    </xf>
    <xf numFmtId="0" fontId="2" fillId="2" borderId="5" xfId="0" applyFont="1" applyFill="1" applyBorder="1" applyAlignment="1">
      <alignment horizontal="center" wrapText="1"/>
    </xf>
    <xf numFmtId="3" fontId="2" fillId="2" borderId="6" xfId="0" applyNumberFormat="1" applyFont="1" applyFill="1" applyBorder="1" applyAlignment="1">
      <alignment vertical="center" wrapText="1"/>
    </xf>
    <xf numFmtId="0" fontId="0" fillId="2" borderId="4" xfId="0" applyFill="1" applyBorder="1"/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2" fontId="0" fillId="0" borderId="0" xfId="0" applyNumberFormat="1"/>
    <xf numFmtId="0" fontId="2" fillId="0" borderId="1" xfId="0" applyFont="1" applyBorder="1" applyAlignment="1">
      <alignment horizontal="center"/>
    </xf>
    <xf numFmtId="10" fontId="5" fillId="0" borderId="0" xfId="0" applyNumberFormat="1" applyFont="1" applyAlignment="1">
      <alignment wrapText="1"/>
    </xf>
    <xf numFmtId="10" fontId="0" fillId="0" borderId="0" xfId="2" applyNumberFormat="1" applyFont="1"/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1F3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FC-42DF-BAB6-2007079410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CFC-42DF-BAB6-2007079410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Sheet1!$F$21:$G$21</c:f>
              <c:strCache>
                <c:ptCount val="2"/>
                <c:pt idx="0">
                  <c:v>Market Share (%)</c:v>
                </c:pt>
                <c:pt idx="1">
                  <c:v>Total Market Share (%)</c:v>
                </c:pt>
              </c:strCache>
            </c:strRef>
          </c:cat>
          <c:val>
            <c:numRef>
              <c:f>Sheet1!$F$22:$G$22</c:f>
              <c:numCache>
                <c:formatCode>0.00%</c:formatCode>
                <c:ptCount val="2"/>
                <c:pt idx="0">
                  <c:v>9.2999999999999999E-2</c:v>
                </c:pt>
                <c:pt idx="1">
                  <c:v>0.90100000000000002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8-428B-B8D4-C4EC9F47D2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 count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Analysis!$B$2:$B$14</c:f>
              <c:numCache>
                <c:formatCode>General</c:formatCode>
                <c:ptCount val="12"/>
                <c:pt idx="0">
                  <c:v>900000</c:v>
                </c:pt>
                <c:pt idx="1">
                  <c:v>1200000</c:v>
                </c:pt>
                <c:pt idx="2">
                  <c:v>850000</c:v>
                </c:pt>
                <c:pt idx="3">
                  <c:v>900000</c:v>
                </c:pt>
                <c:pt idx="4">
                  <c:v>700000</c:v>
                </c:pt>
                <c:pt idx="5">
                  <c:v>1200000</c:v>
                </c:pt>
                <c:pt idx="6">
                  <c:v>980000</c:v>
                </c:pt>
                <c:pt idx="7">
                  <c:v>650000</c:v>
                </c:pt>
                <c:pt idx="8">
                  <c:v>1300000</c:v>
                </c:pt>
                <c:pt idx="9">
                  <c:v>880000</c:v>
                </c:pt>
                <c:pt idx="10">
                  <c:v>930000</c:v>
                </c:pt>
                <c:pt idx="11">
                  <c:v>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37-4F15-A04E-B199CA824F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51214688"/>
        <c:axId val="1953164528"/>
      </c:lineChart>
      <c:catAx>
        <c:axId val="195121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64528"/>
        <c:crosses val="autoZero"/>
        <c:auto val="1"/>
        <c:lblAlgn val="ctr"/>
        <c:lblOffset val="100"/>
        <c:noMultiLvlLbl val="0"/>
      </c:catAx>
      <c:valAx>
        <c:axId val="1953164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121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1F3A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Dashboard.xlsx]Analysis!PivotTable7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6 MONTH WITH</a:t>
            </a:r>
            <a:r>
              <a:rPr lang="en-US" baseline="0"/>
              <a:t>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Analysis!$I$8:$I$14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September</c:v>
                </c:pt>
                <c:pt idx="3">
                  <c:v>October</c:v>
                </c:pt>
                <c:pt idx="4">
                  <c:v>February</c:v>
                </c:pt>
                <c:pt idx="5">
                  <c:v>June</c:v>
                </c:pt>
              </c:strCache>
            </c:strRef>
          </c:cat>
          <c:val>
            <c:numRef>
              <c:f>Analysis!$J$8:$J$14</c:f>
              <c:numCache>
                <c:formatCode>General</c:formatCode>
                <c:ptCount val="6"/>
                <c:pt idx="0">
                  <c:v>5500</c:v>
                </c:pt>
                <c:pt idx="1">
                  <c:v>5300</c:v>
                </c:pt>
                <c:pt idx="2">
                  <c:v>5000</c:v>
                </c:pt>
                <c:pt idx="3">
                  <c:v>4700</c:v>
                </c:pt>
                <c:pt idx="4">
                  <c:v>4300</c:v>
                </c:pt>
                <c:pt idx="5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C-4905-BD93-C5352899E2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413088"/>
        <c:axId val="1953158080"/>
      </c:barChart>
      <c:catAx>
        <c:axId val="195541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58080"/>
        <c:crosses val="autoZero"/>
        <c:auto val="1"/>
        <c:lblAlgn val="ctr"/>
        <c:lblOffset val="100"/>
        <c:noMultiLvlLbl val="0"/>
      </c:catAx>
      <c:valAx>
        <c:axId val="195315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541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rgbClr val="00206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VIEW COUNT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#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Analysis!$B$2:$B$14</c:f>
              <c:numCache>
                <c:formatCode>General</c:formatCode>
                <c:ptCount val="12"/>
                <c:pt idx="0">
                  <c:v>900000</c:v>
                </c:pt>
                <c:pt idx="1">
                  <c:v>1200000</c:v>
                </c:pt>
                <c:pt idx="2">
                  <c:v>850000</c:v>
                </c:pt>
                <c:pt idx="3">
                  <c:v>900000</c:v>
                </c:pt>
                <c:pt idx="4">
                  <c:v>700000</c:v>
                </c:pt>
                <c:pt idx="5">
                  <c:v>1200000</c:v>
                </c:pt>
                <c:pt idx="6">
                  <c:v>980000</c:v>
                </c:pt>
                <c:pt idx="7">
                  <c:v>650000</c:v>
                </c:pt>
                <c:pt idx="8">
                  <c:v>1300000</c:v>
                </c:pt>
                <c:pt idx="9">
                  <c:v>880000</c:v>
                </c:pt>
                <c:pt idx="10">
                  <c:v>930000</c:v>
                </c:pt>
                <c:pt idx="11">
                  <c:v>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DC-41D2-9192-71392436F2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51214688"/>
        <c:axId val="1953164528"/>
      </c:lineChart>
      <c:catAx>
        <c:axId val="195121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64528"/>
        <c:crosses val="autoZero"/>
        <c:auto val="1"/>
        <c:lblAlgn val="ctr"/>
        <c:lblOffset val="100"/>
        <c:noMultiLvlLbl val="0"/>
      </c:catAx>
      <c:valAx>
        <c:axId val="1953164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121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Dashboard.xlsx]Analysis!PivotTable7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6 MONTH WITH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Analysis!$I$8:$I$14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September</c:v>
                </c:pt>
                <c:pt idx="3">
                  <c:v>October</c:v>
                </c:pt>
                <c:pt idx="4">
                  <c:v>February</c:v>
                </c:pt>
                <c:pt idx="5">
                  <c:v>June</c:v>
                </c:pt>
              </c:strCache>
            </c:strRef>
          </c:cat>
          <c:val>
            <c:numRef>
              <c:f>Analysis!$J$8:$J$14</c:f>
              <c:numCache>
                <c:formatCode>General</c:formatCode>
                <c:ptCount val="6"/>
                <c:pt idx="0">
                  <c:v>5500</c:v>
                </c:pt>
                <c:pt idx="1">
                  <c:v>5300</c:v>
                </c:pt>
                <c:pt idx="2">
                  <c:v>5000</c:v>
                </c:pt>
                <c:pt idx="3">
                  <c:v>4700</c:v>
                </c:pt>
                <c:pt idx="4">
                  <c:v>4300</c:v>
                </c:pt>
                <c:pt idx="5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E-4953-B0CA-01BCF9D5DC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5413088"/>
        <c:axId val="1953158080"/>
      </c:barChart>
      <c:catAx>
        <c:axId val="195541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58080"/>
        <c:crosses val="autoZero"/>
        <c:auto val="1"/>
        <c:lblAlgn val="ctr"/>
        <c:lblOffset val="100"/>
        <c:noMultiLvlLbl val="0"/>
      </c:catAx>
      <c:valAx>
        <c:axId val="195315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541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baseline="0">
          <a:solidFill>
            <a:srgbClr val="FF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market by market share</a:t>
            </a:r>
          </a:p>
        </c:rich>
      </c:tx>
      <c:layout>
        <c:manualLayout>
          <c:xMode val="edge"/>
          <c:yMode val="edge"/>
          <c:x val="0.15018375218899419"/>
          <c:y val="5.664797432196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bg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60-4022-AC71-0E3922941B0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60-4022-AC71-0E3922941B02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660-4022-AC71-0E3922941B02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660-4022-AC71-0E3922941B0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Sheet1!$F$21:$G$21</c:f>
              <c:strCache>
                <c:ptCount val="2"/>
                <c:pt idx="0">
                  <c:v>Market Share (%)</c:v>
                </c:pt>
                <c:pt idx="1">
                  <c:v>Total Market Share (%)</c:v>
                </c:pt>
              </c:strCache>
            </c:strRef>
          </c:cat>
          <c:val>
            <c:numRef>
              <c:f>Sheet1!$F$22:$G$22</c:f>
              <c:numCache>
                <c:formatCode>0.00%</c:formatCode>
                <c:ptCount val="2"/>
                <c:pt idx="0">
                  <c:v>9.2999999999999999E-2</c:v>
                </c:pt>
                <c:pt idx="1">
                  <c:v>0.90100000000000002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60-4022-AC71-0E3922941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AVG CRR and AVG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Sheet1!$B$21:$C$21</c:f>
              <c:strCache>
                <c:ptCount val="2"/>
                <c:pt idx="0">
                  <c:v>AVERAGE CAR %</c:v>
                </c:pt>
                <c:pt idx="1">
                  <c:v>AVERAGE CRR %</c:v>
                </c:pt>
              </c:strCache>
            </c:strRef>
          </c:cat>
          <c:val>
            <c:numRef>
              <c:f>Sheet1!$B$22:$C$22</c:f>
              <c:numCache>
                <c:formatCode>General</c:formatCode>
                <c:ptCount val="2"/>
                <c:pt idx="0">
                  <c:v>23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7-4D21-9884-1A7496C1AA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592367"/>
        <c:axId val="125268351"/>
      </c:barChart>
      <c:catAx>
        <c:axId val="1305923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8351"/>
        <c:crosses val="autoZero"/>
        <c:auto val="1"/>
        <c:lblAlgn val="ctr"/>
        <c:lblOffset val="100"/>
        <c:noMultiLvlLbl val="0"/>
      </c:catAx>
      <c:valAx>
        <c:axId val="125268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592367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Dashboard.xlsx]Sheet5!PivotTable14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COUNT</a:t>
            </a:r>
            <a:r>
              <a:rPr lang="en-US" sz="14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MARKETING CAMPAIGN MODE</a:t>
            </a:r>
            <a:endParaRPr lang="en-US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Sheet5!$A$2:$A$7</c:f>
              <c:strCache>
                <c:ptCount val="6"/>
                <c:pt idx="0">
                  <c:v>Billpost</c:v>
                </c:pt>
                <c:pt idx="1">
                  <c:v>Facebook ads</c:v>
                </c:pt>
                <c:pt idx="2">
                  <c:v>Googleads</c:v>
                </c:pt>
                <c:pt idx="3">
                  <c:v>instagram ads</c:v>
                </c:pt>
                <c:pt idx="4">
                  <c:v>Referral</c:v>
                </c:pt>
                <c:pt idx="5">
                  <c:v>Twitter ads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6"/>
                <c:pt idx="0">
                  <c:v>22</c:v>
                </c:pt>
                <c:pt idx="1">
                  <c:v>16</c:v>
                </c:pt>
                <c:pt idx="2">
                  <c:v>13</c:v>
                </c:pt>
                <c:pt idx="3">
                  <c:v>20</c:v>
                </c:pt>
                <c:pt idx="4">
                  <c:v>31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1-4587-8729-357CC9E63A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472271"/>
        <c:axId val="1956817568"/>
      </c:barChart>
      <c:catAx>
        <c:axId val="15947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956817568"/>
        <c:crosses val="autoZero"/>
        <c:auto val="1"/>
        <c:lblAlgn val="ctr"/>
        <c:lblOffset val="100"/>
        <c:noMultiLvlLbl val="0"/>
      </c:catAx>
      <c:valAx>
        <c:axId val="19568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9472271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Dashboard.xlsx]Sheet5!PivotTable14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Marketing</a:t>
            </a:r>
            <a:r>
              <a:rPr lang="en-US" baseline="0"/>
              <a:t> C</a:t>
            </a:r>
            <a:r>
              <a:rPr lang="en-US"/>
              <a:t>ampaign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Sheet5!$A$2:$A$7</c:f>
              <c:strCache>
                <c:ptCount val="6"/>
                <c:pt idx="0">
                  <c:v>Billpost</c:v>
                </c:pt>
                <c:pt idx="1">
                  <c:v>Facebook ads</c:v>
                </c:pt>
                <c:pt idx="2">
                  <c:v>Googleads</c:v>
                </c:pt>
                <c:pt idx="3">
                  <c:v>instagram ads</c:v>
                </c:pt>
                <c:pt idx="4">
                  <c:v>Referral</c:v>
                </c:pt>
                <c:pt idx="5">
                  <c:v>Twitter ads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6"/>
                <c:pt idx="0">
                  <c:v>22</c:v>
                </c:pt>
                <c:pt idx="1">
                  <c:v>16</c:v>
                </c:pt>
                <c:pt idx="2">
                  <c:v>13</c:v>
                </c:pt>
                <c:pt idx="3">
                  <c:v>20</c:v>
                </c:pt>
                <c:pt idx="4">
                  <c:v>31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A-48BD-BC81-C9CD3DBAD2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472271"/>
        <c:axId val="1956817568"/>
      </c:barChart>
      <c:catAx>
        <c:axId val="15947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817568"/>
        <c:crosses val="autoZero"/>
        <c:auto val="1"/>
        <c:lblAlgn val="ctr"/>
        <c:lblOffset val="100"/>
        <c:noMultiLvlLbl val="0"/>
      </c:catAx>
      <c:valAx>
        <c:axId val="19568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947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585787</xdr:colOff>
      <xdr:row>13</xdr:row>
      <xdr:rowOff>33337</xdr:rowOff>
    </xdr:from>
    <xdr:to>
      <xdr:col>12</xdr:col>
      <xdr:colOff>109537</xdr:colOff>
      <xdr:row>27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729DD-ED35-DCC0-052D-72CB3E2ED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61912</xdr:rowOff>
    </xdr:from>
    <xdr:to>
      <xdr:col>4</xdr:col>
      <xdr:colOff>666750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4408BE-AAD4-E941-9944-465FD7AD6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104775</xdr:colOff>
      <xdr:row>4</xdr:row>
      <xdr:rowOff>61912</xdr:rowOff>
    </xdr:from>
    <xdr:to>
      <xdr:col>9</xdr:col>
      <xdr:colOff>228600</xdr:colOff>
      <xdr:row>18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5A0C74-8A84-677F-9634-78761A221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557893</xdr:colOff>
      <xdr:row>1</xdr:row>
      <xdr:rowOff>13604</xdr:rowOff>
    </xdr:from>
    <xdr:to>
      <xdr:col>22</xdr:col>
      <xdr:colOff>272143</xdr:colOff>
      <xdr:row>39</xdr:row>
      <xdr:rowOff>27213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CEA1D0-8F26-3F00-8150-E5E604768C3C}"/>
            </a:ext>
          </a:extLst>
        </xdr:cNvPr>
        <xdr:cNvSpPr/>
      </xdr:nvSpPr>
      <xdr:spPr>
        <a:xfrm>
          <a:off x="557893" y="204104"/>
          <a:ext cx="13185321" cy="7252609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81643</xdr:colOff>
      <xdr:row>1</xdr:row>
      <xdr:rowOff>156480</xdr:rowOff>
    </xdr:from>
    <xdr:to>
      <xdr:col>22</xdr:col>
      <xdr:colOff>198211</xdr:colOff>
      <xdr:row>4</xdr:row>
      <xdr:rowOff>149072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1E07EE-871A-D3E1-4C74-75ECD2B4C52C}"/>
            </a:ext>
          </a:extLst>
        </xdr:cNvPr>
        <xdr:cNvSpPr txBox="1"/>
      </xdr:nvSpPr>
      <xdr:spPr>
        <a:xfrm>
          <a:off x="693964" y="346980"/>
          <a:ext cx="12975318" cy="56409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MARKETING DASHBOARD</a:t>
          </a:r>
        </a:p>
      </xdr:txBody>
    </xdr:sp>
    <xdr:clientData/>
  </xdr:twoCellAnchor>
  <xdr:twoCellAnchor>
    <xdr:from>
      <xdr:col>1</xdr:col>
      <xdr:colOff>54428</xdr:colOff>
      <xdr:row>5</xdr:row>
      <xdr:rowOff>176894</xdr:rowOff>
    </xdr:from>
    <xdr:to>
      <xdr:col>4</xdr:col>
      <xdr:colOff>381000</xdr:colOff>
      <xdr:row>12</xdr:row>
      <xdr:rowOff>163286</xdr:rowOff>
    </xdr:to>
    <xdr:sp macro="" textlink="Analysis!E5">
      <xdr:nvSpPr>
        <xdr:cNvPr id="4" name="TextBox 3">
          <a:extLst>
            <a:ext uri="{FF2B5EF4-FFF2-40B4-BE49-F238E27FC236}">
              <a16:creationId xmlns:a16="http://schemas.microsoft.com/office/drawing/2014/main" id="{2ADC367D-1FA0-463A-8FAA-4AB80C55EEFF}"/>
            </a:ext>
          </a:extLst>
        </xdr:cNvPr>
        <xdr:cNvSpPr txBox="1"/>
      </xdr:nvSpPr>
      <xdr:spPr>
        <a:xfrm>
          <a:off x="666749" y="1129394"/>
          <a:ext cx="2163537" cy="131989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400" b="1" i="0" u="none" strike="noStrike" cap="all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400" b="1" i="0" u="none" strike="noStrike" cap="all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400" b="1" i="0" u="none" strike="noStrike" cap="all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View Count</a:t>
          </a:r>
        </a:p>
        <a:p>
          <a:pPr algn="ctr"/>
          <a:endParaRPr lang="en-US" sz="1400" b="1" i="0" u="none" strike="noStrike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fld id="{6A2AD3E0-1013-4117-ACE4-C67D50995401}" type="TxLink"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 2,055,000 </a:t>
          </a:fld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54430</xdr:colOff>
      <xdr:row>13</xdr:row>
      <xdr:rowOff>68037</xdr:rowOff>
    </xdr:from>
    <xdr:to>
      <xdr:col>4</xdr:col>
      <xdr:colOff>401091</xdr:colOff>
      <xdr:row>20</xdr:row>
      <xdr:rowOff>1</xdr:rowOff>
    </xdr:to>
    <xdr:sp macro="" textlink="Analysis!G5">
      <xdr:nvSpPr>
        <xdr:cNvPr id="5" name="TextBox 4">
          <a:extLst>
            <a:ext uri="{FF2B5EF4-FFF2-40B4-BE49-F238E27FC236}">
              <a16:creationId xmlns:a16="http://schemas.microsoft.com/office/drawing/2014/main" id="{D48C68B5-77E8-4B7A-B0EC-D5682D4CAA61}"/>
            </a:ext>
          </a:extLst>
        </xdr:cNvPr>
        <xdr:cNvSpPr txBox="1"/>
      </xdr:nvSpPr>
      <xdr:spPr>
        <a:xfrm>
          <a:off x="666751" y="2544537"/>
          <a:ext cx="2183626" cy="1265464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400" b="1" i="0" u="none" strike="noStrike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NUMBER OF</a:t>
          </a:r>
          <a:r>
            <a:rPr lang="en-US" sz="1400" b="1" i="0" u="none" strike="noStrike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CUSTOMERS</a:t>
          </a:r>
          <a:endParaRPr lang="en-US" sz="1400" b="1" i="0" u="none" strike="noStrike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400" b="1" i="0" u="none" strike="noStrike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fld id="{2332C519-48D9-4E9E-B2C6-8E3BB6161D10}" type="TxLink"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 50,550 </a:t>
          </a:fld>
          <a:endParaRPr lang="en-US" sz="1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353785</xdr:colOff>
      <xdr:row>13</xdr:row>
      <xdr:rowOff>40821</xdr:rowOff>
    </xdr:from>
    <xdr:to>
      <xdr:col>22</xdr:col>
      <xdr:colOff>190501</xdr:colOff>
      <xdr:row>20</xdr:row>
      <xdr:rowOff>13607</xdr:rowOff>
    </xdr:to>
    <xdr:sp macro="" textlink="Analysis!I5">
      <xdr:nvSpPr>
        <xdr:cNvPr id="8" name="Rectangle 7">
          <a:extLst>
            <a:ext uri="{FF2B5EF4-FFF2-40B4-BE49-F238E27FC236}">
              <a16:creationId xmlns:a16="http://schemas.microsoft.com/office/drawing/2014/main" id="{056A5043-2496-2627-24F8-397FFCF46D09}"/>
            </a:ext>
          </a:extLst>
        </xdr:cNvPr>
        <xdr:cNvSpPr/>
      </xdr:nvSpPr>
      <xdr:spPr>
        <a:xfrm>
          <a:off x="11375571" y="2517321"/>
          <a:ext cx="2286001" cy="1306286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 b="1" i="0" u="none" strike="noStrike">
            <a:solidFill>
              <a:schemeClr val="bg1"/>
            </a:solidFill>
            <a:latin typeface="Calibri"/>
            <a:cs typeface="Calibri"/>
          </a:endParaRPr>
        </a:p>
        <a:p>
          <a:pPr algn="ctr"/>
          <a:r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t>CUSTOMER ACQUISTION RATE</a:t>
          </a:r>
          <a:r>
            <a:rPr lang="en-US" sz="1400" b="1" i="0" u="none" strike="noStrike" baseline="0">
              <a:solidFill>
                <a:schemeClr val="bg1"/>
              </a:solidFill>
              <a:latin typeface="Calibri"/>
              <a:cs typeface="Calibri"/>
            </a:rPr>
            <a:t> AVG</a:t>
          </a:r>
          <a:endParaRPr lang="en-US" sz="1400" b="1" i="0" u="none" strike="noStrike">
            <a:solidFill>
              <a:schemeClr val="bg1"/>
            </a:solidFill>
            <a:latin typeface="Calibri"/>
            <a:cs typeface="Calibri"/>
          </a:endParaRPr>
        </a:p>
        <a:p>
          <a:pPr algn="ctr"/>
          <a:endParaRPr lang="en-US" sz="1400" b="1" i="0" u="none" strike="noStrike">
            <a:solidFill>
              <a:schemeClr val="bg1"/>
            </a:solidFill>
            <a:latin typeface="Calibri"/>
            <a:cs typeface="Calibri"/>
          </a:endParaRPr>
        </a:p>
        <a:p>
          <a:pPr algn="ctr"/>
          <a:fld id="{801CE9E4-A37C-45EF-98BB-59DFDE7603D9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19.67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340178</xdr:colOff>
      <xdr:row>5</xdr:row>
      <xdr:rowOff>176893</xdr:rowOff>
    </xdr:from>
    <xdr:to>
      <xdr:col>22</xdr:col>
      <xdr:colOff>204108</xdr:colOff>
      <xdr:row>12</xdr:row>
      <xdr:rowOff>149680</xdr:rowOff>
    </xdr:to>
    <xdr:sp macro="" textlink="Analysis!G8">
      <xdr:nvSpPr>
        <xdr:cNvPr id="9" name="Rectangle 8">
          <a:extLst>
            <a:ext uri="{FF2B5EF4-FFF2-40B4-BE49-F238E27FC236}">
              <a16:creationId xmlns:a16="http://schemas.microsoft.com/office/drawing/2014/main" id="{87333018-96E5-4D6B-9443-5343B3519FD5}"/>
            </a:ext>
          </a:extLst>
        </xdr:cNvPr>
        <xdr:cNvSpPr/>
      </xdr:nvSpPr>
      <xdr:spPr>
        <a:xfrm>
          <a:off x="11361964" y="1129393"/>
          <a:ext cx="2313215" cy="1306287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200" b="1" i="0" u="none" strike="noStrike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SALES PROJECTED</a:t>
          </a:r>
        </a:p>
        <a:p>
          <a:pPr algn="ctr"/>
          <a:endParaRPr lang="en-US" sz="1200" b="1" i="0" u="none" strike="noStrike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fld id="{FC1A9A29-DCB8-45DF-97AE-294F70E13E06}" type="TxLink">
            <a: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940833.33</a:t>
          </a:fld>
          <a:endParaRPr lang="en-US" sz="1400" b="1" i="0" u="none" strike="noStrike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462643</xdr:colOff>
      <xdr:row>5</xdr:row>
      <xdr:rowOff>176892</xdr:rowOff>
    </xdr:from>
    <xdr:to>
      <xdr:col>11</xdr:col>
      <xdr:colOff>366067</xdr:colOff>
      <xdr:row>20</xdr:row>
      <xdr:rowOff>12375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B521393-E5C9-46B1-8151-089FFBA7D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462643</xdr:colOff>
      <xdr:row>5</xdr:row>
      <xdr:rowOff>163286</xdr:rowOff>
    </xdr:from>
    <xdr:to>
      <xdr:col>18</xdr:col>
      <xdr:colOff>297389</xdr:colOff>
      <xdr:row>20</xdr:row>
      <xdr:rowOff>7991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A3D05E9-2F56-4791-BCD6-CF42FDC7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312965</xdr:colOff>
      <xdr:row>20</xdr:row>
      <xdr:rowOff>122465</xdr:rowOff>
    </xdr:from>
    <xdr:to>
      <xdr:col>14</xdr:col>
      <xdr:colOff>1</xdr:colOff>
      <xdr:row>38</xdr:row>
      <xdr:rowOff>56339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A3518C4-18B4-4FEC-BD47-8B530A44D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68036</xdr:colOff>
      <xdr:row>20</xdr:row>
      <xdr:rowOff>136068</xdr:rowOff>
    </xdr:from>
    <xdr:to>
      <xdr:col>7</xdr:col>
      <xdr:colOff>225362</xdr:colOff>
      <xdr:row>38</xdr:row>
      <xdr:rowOff>68036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68C5943-6319-475F-B931-ECB5369B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68032</xdr:colOff>
      <xdr:row>20</xdr:row>
      <xdr:rowOff>136071</xdr:rowOff>
    </xdr:from>
    <xdr:to>
      <xdr:col>22</xdr:col>
      <xdr:colOff>205005</xdr:colOff>
      <xdr:row>38</xdr:row>
      <xdr:rowOff>49758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314E773-77AC-450A-81EF-9B8F5041C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1395412</xdr:colOff>
      <xdr:row>4</xdr:row>
      <xdr:rowOff>61912</xdr:rowOff>
    </xdr:from>
    <xdr:to>
      <xdr:col>9</xdr:col>
      <xdr:colOff>252412</xdr:colOff>
      <xdr:row>18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681C9-B50A-197A-942B-DF698B7ED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u Waqaas" refreshedDate="45302.494155092594" createdVersion="8" refreshedVersion="8" minRefreshableVersion="3" recordCount="12" xr:uid="{FB5041E8-7BE0-4843-917A-4223C559E4BC}">
  <cacheSource type="worksheet">
    <worksheetSource ref="A1:K13" sheet="Sheet1"/>
  </cacheSource>
  <cacheFields count="11">
    <cacheField name="Year" numFmtId="0">
      <sharedItems containsString="0" containsBlank="1" containsNumber="1" containsInteger="1" minValue="2022" maxValue="202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 View count" numFmtId="3">
      <sharedItems containsSemiMixedTypes="0" containsString="0" containsNumber="1" containsInteger="1" minValue="100000" maxValue="220000"/>
    </cacheField>
    <cacheField name="Revenue Growth Rate (%)" numFmtId="0">
      <sharedItems containsSemiMixedTypes="0" containsString="0" containsNumber="1" containsInteger="1" minValue="13" maxValue="34"/>
    </cacheField>
    <cacheField name="Customer Churn Rate (%)" numFmtId="0">
      <sharedItems containsSemiMixedTypes="0" containsString="0" containsNumber="1" minValue="2.2000000000000002" maxValue="5.2"/>
    </cacheField>
    <cacheField name="Cost of each Click ($)" numFmtId="2">
      <sharedItems containsSemiMixedTypes="0" containsString="0" containsNumber="1" minValue="0.22" maxValue="0.48"/>
    </cacheField>
    <cacheField name="Sales Projection ($)" numFmtId="0">
      <sharedItems containsSemiMixedTypes="0" containsString="0" containsNumber="1" containsInteger="1" minValue="650000" maxValue="1300000"/>
    </cacheField>
    <cacheField name="Number of Customers" numFmtId="3">
      <sharedItems containsSemiMixedTypes="0" containsString="0" containsNumber="1" containsInteger="1" minValue="2800" maxValue="5500"/>
    </cacheField>
    <cacheField name="Customer Acquisition Rate (%)" numFmtId="0">
      <sharedItems containsSemiMixedTypes="0" containsString="0" containsNumber="1" minValue="16" maxValue="24"/>
    </cacheField>
    <cacheField name="Customer Lifetime Value ($)" numFmtId="0">
      <sharedItems containsSemiMixedTypes="0" containsString="0" containsNumber="1" containsInteger="1" minValue="170" maxValue="250"/>
    </cacheField>
    <cacheField name="Customer Retention Rate (%)" numFmtId="0">
      <sharedItems containsSemiMixedTypes="0" containsString="0" containsNumber="1" containsInteger="1" minValue="76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u Waqaas" refreshedDate="45302.573250347225" createdVersion="8" refreshedVersion="8" minRefreshableVersion="3" recordCount="125" xr:uid="{B4B135D3-96E9-438D-9876-216220F058B1}">
  <cacheSource type="worksheet">
    <worksheetSource ref="A1:H126" sheet="Sheet4"/>
  </cacheSource>
  <cacheFields count="8">
    <cacheField name="Campaign id" numFmtId="0">
      <sharedItems containsSemiMixedTypes="0" containsString="0" containsNumber="1" containsInteger="1" minValue="56" maxValue="100"/>
    </cacheField>
    <cacheField name="Channel" numFmtId="0">
      <sharedItems/>
    </cacheField>
    <cacheField name="Campaign Start_date" numFmtId="14">
      <sharedItems containsSemiMixedTypes="0" containsNonDate="0" containsDate="1" containsString="0" minDate="2021-10-15T00:00:00" maxDate="2021-12-10T00:00:00"/>
    </cacheField>
    <cacheField name="Campaign end_date" numFmtId="14">
      <sharedItems containsSemiMixedTypes="0" containsNonDate="0" containsDate="1" containsString="0" minDate="2021-12-31T00:00:00" maxDate="2022-01-11T00:00:00"/>
    </cacheField>
    <cacheField name="Cost of campaign" numFmtId="0">
      <sharedItems containsSemiMixedTypes="0" containsString="0" containsNumber="1" containsInteger="1" minValue="200" maxValue="750"/>
    </cacheField>
    <cacheField name="Campaign Reach" numFmtId="0">
      <sharedItems containsSemiMixedTypes="0" containsString="0" containsNumber="1" containsInteger="1" minValue="800" maxValue="1498"/>
    </cacheField>
    <cacheField name="Channel Used" numFmtId="0">
      <sharedItems count="6">
        <s v="Facebook ads"/>
        <s v="instagram ads"/>
        <s v="Twitter ads"/>
        <s v="Billpost"/>
        <s v="Googleads"/>
        <s v="Referral"/>
      </sharedItems>
    </cacheField>
    <cacheField name="Number of clicks" numFmtId="0">
      <sharedItems containsSemiMixedTypes="0" containsString="0" containsNumber="1" containsInteger="1" minValue="526" maxValue="14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2"/>
    <x v="0"/>
    <n v="170000"/>
    <n v="13"/>
    <n v="4"/>
    <n v="0.22"/>
    <n v="900000"/>
    <n v="4000"/>
    <n v="17"/>
    <n v="179"/>
    <n v="89"/>
  </r>
  <r>
    <m/>
    <x v="1"/>
    <n v="200000"/>
    <n v="20"/>
    <n v="5.2"/>
    <n v="0.48"/>
    <n v="1200000"/>
    <n v="4300"/>
    <n v="16"/>
    <n v="170"/>
    <n v="76"/>
  </r>
  <r>
    <m/>
    <x v="2"/>
    <n v="195000"/>
    <n v="21"/>
    <n v="2.6"/>
    <n v="0.36"/>
    <n v="850000"/>
    <n v="3000"/>
    <n v="19"/>
    <n v="180"/>
    <n v="80"/>
  </r>
  <r>
    <m/>
    <x v="3"/>
    <n v="185000"/>
    <n v="18"/>
    <n v="3.4"/>
    <n v="0.39"/>
    <n v="900000"/>
    <n v="5500"/>
    <n v="20"/>
    <n v="185"/>
    <n v="90"/>
  </r>
  <r>
    <m/>
    <x v="4"/>
    <n v="180000"/>
    <n v="25"/>
    <n v="4.2"/>
    <n v="0.42"/>
    <n v="700000"/>
    <n v="5300"/>
    <n v="16.899999999999999"/>
    <n v="200"/>
    <n v="78"/>
  </r>
  <r>
    <m/>
    <x v="5"/>
    <n v="165000"/>
    <n v="15"/>
    <n v="3.7"/>
    <n v="0.37"/>
    <n v="1200000"/>
    <n v="4300"/>
    <n v="18"/>
    <n v="215"/>
    <n v="88"/>
  </r>
  <r>
    <m/>
    <x v="6"/>
    <n v="150000"/>
    <n v="20"/>
    <n v="3.6"/>
    <n v="0.45"/>
    <n v="980000"/>
    <n v="4150"/>
    <n v="21.3"/>
    <n v="205"/>
    <n v="86"/>
  </r>
  <r>
    <m/>
    <x v="7"/>
    <n v="100000"/>
    <n v="20"/>
    <n v="2.9"/>
    <n v="0.36"/>
    <n v="650000"/>
    <n v="2800"/>
    <n v="20"/>
    <n v="200"/>
    <n v="83"/>
  </r>
  <r>
    <m/>
    <x v="8"/>
    <n v="120000"/>
    <n v="29"/>
    <n v="3"/>
    <n v="0.37"/>
    <n v="1300000"/>
    <n v="5000"/>
    <n v="22.3"/>
    <n v="190"/>
    <n v="79"/>
  </r>
  <r>
    <m/>
    <x v="9"/>
    <n v="190000"/>
    <n v="18"/>
    <n v="2.2000000000000002"/>
    <n v="0.36"/>
    <n v="880000"/>
    <n v="4700"/>
    <n v="21"/>
    <n v="210"/>
    <n v="88"/>
  </r>
  <r>
    <m/>
    <x v="10"/>
    <n v="180000"/>
    <n v="28"/>
    <n v="3.5"/>
    <n v="0.28999999999999998"/>
    <n v="930000"/>
    <n v="4000"/>
    <n v="20.5"/>
    <n v="200"/>
    <n v="84"/>
  </r>
  <r>
    <m/>
    <x v="11"/>
    <n v="220000"/>
    <n v="34"/>
    <n v="2.8"/>
    <n v="0.4"/>
    <n v="800000"/>
    <n v="3500"/>
    <n v="24"/>
    <n v="250"/>
    <n v="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89"/>
    <s v="Billboard"/>
    <d v="2021-11-26T00:00:00"/>
    <d v="2022-01-07T00:00:00"/>
    <n v="241"/>
    <n v="1151"/>
    <x v="0"/>
    <n v="1363"/>
  </r>
  <r>
    <n v="60"/>
    <s v="Billboard"/>
    <d v="2021-10-31T00:00:00"/>
    <d v="2022-01-09T00:00:00"/>
    <n v="502"/>
    <n v="1486"/>
    <x v="1"/>
    <n v="1319"/>
  </r>
  <r>
    <n v="68"/>
    <s v="Billboard"/>
    <d v="2021-12-02T00:00:00"/>
    <d v="2022-01-10T00:00:00"/>
    <n v="739"/>
    <n v="1456"/>
    <x v="2"/>
    <n v="1379"/>
  </r>
  <r>
    <n v="80"/>
    <s v="Socialmedia"/>
    <d v="2021-12-09T00:00:00"/>
    <d v="2022-01-01T00:00:00"/>
    <n v="749"/>
    <n v="1058"/>
    <x v="1"/>
    <n v="1407"/>
  </r>
  <r>
    <n v="82"/>
    <s v="Socialmedia"/>
    <d v="2021-11-09T00:00:00"/>
    <d v="2022-01-09T00:00:00"/>
    <n v="377"/>
    <n v="1147"/>
    <x v="3"/>
    <n v="650"/>
  </r>
  <r>
    <n v="68"/>
    <s v="Socialmedia"/>
    <d v="2021-10-30T00:00:00"/>
    <d v="2022-01-01T00:00:00"/>
    <n v="572"/>
    <n v="1178"/>
    <x v="4"/>
    <n v="1126"/>
  </r>
  <r>
    <n v="80"/>
    <s v="Billboard"/>
    <d v="2021-11-13T00:00:00"/>
    <d v="2022-01-05T00:00:00"/>
    <n v="740"/>
    <n v="1059"/>
    <x v="4"/>
    <n v="779"/>
  </r>
  <r>
    <n v="65"/>
    <s v="Socialmedia"/>
    <d v="2021-12-01T00:00:00"/>
    <d v="2022-01-05T00:00:00"/>
    <n v="580"/>
    <n v="1395"/>
    <x v="4"/>
    <n v="715"/>
  </r>
  <r>
    <n v="99"/>
    <s v="E-mail"/>
    <d v="2021-11-26T00:00:00"/>
    <d v="2022-01-08T00:00:00"/>
    <n v="252"/>
    <n v="994"/>
    <x v="0"/>
    <n v="753"/>
  </r>
  <r>
    <n v="100"/>
    <s v="Socialmedia"/>
    <d v="2021-11-03T00:00:00"/>
    <d v="2022-01-02T00:00:00"/>
    <n v="403"/>
    <n v="988"/>
    <x v="3"/>
    <n v="924"/>
  </r>
  <r>
    <n v="87"/>
    <s v="Socialmedia"/>
    <d v="2021-11-28T00:00:00"/>
    <d v="2022-01-06T00:00:00"/>
    <n v="330"/>
    <n v="1049"/>
    <x v="5"/>
    <n v="526"/>
  </r>
  <r>
    <n v="85"/>
    <s v="Socialmedia"/>
    <d v="2021-11-06T00:00:00"/>
    <d v="2022-01-06T00:00:00"/>
    <n v="588"/>
    <n v="978"/>
    <x v="0"/>
    <n v="771"/>
  </r>
  <r>
    <n v="77"/>
    <s v="Socialmedia"/>
    <d v="2021-11-28T00:00:00"/>
    <d v="2022-01-03T00:00:00"/>
    <n v="519"/>
    <n v="1464"/>
    <x v="5"/>
    <n v="1278"/>
  </r>
  <r>
    <n v="79"/>
    <s v="E-mail"/>
    <d v="2021-11-14T00:00:00"/>
    <d v="2022-01-04T00:00:00"/>
    <n v="667"/>
    <n v="1125"/>
    <x v="0"/>
    <n v="683"/>
  </r>
  <r>
    <n v="80"/>
    <s v="E-mail"/>
    <d v="2021-11-20T00:00:00"/>
    <d v="2022-01-09T00:00:00"/>
    <n v="635"/>
    <n v="1470"/>
    <x v="2"/>
    <n v="757"/>
  </r>
  <r>
    <n v="74"/>
    <s v="E-mail"/>
    <d v="2021-11-07T00:00:00"/>
    <d v="2022-01-04T00:00:00"/>
    <n v="524"/>
    <n v="1336"/>
    <x v="1"/>
    <n v="1205"/>
  </r>
  <r>
    <n v="80"/>
    <s v="E-mail"/>
    <d v="2021-11-22T00:00:00"/>
    <d v="2022-01-04T00:00:00"/>
    <n v="250"/>
    <n v="1277"/>
    <x v="5"/>
    <n v="1183"/>
  </r>
  <r>
    <n v="97"/>
    <s v="E-mail"/>
    <d v="2021-11-26T00:00:00"/>
    <d v="2022-01-10T00:00:00"/>
    <n v="598"/>
    <n v="1405"/>
    <x v="2"/>
    <n v="1307"/>
  </r>
  <r>
    <n v="95"/>
    <s v="E-mail"/>
    <d v="2021-10-28T00:00:00"/>
    <d v="2022-01-06T00:00:00"/>
    <n v="500"/>
    <n v="859"/>
    <x v="3"/>
    <n v="1306"/>
  </r>
  <r>
    <n v="100"/>
    <s v="E-mail"/>
    <d v="2021-12-03T00:00:00"/>
    <d v="2021-12-31T00:00:00"/>
    <n v="302"/>
    <n v="1131"/>
    <x v="5"/>
    <n v="1324"/>
  </r>
  <r>
    <n v="83"/>
    <s v="Billboard"/>
    <d v="2021-11-19T00:00:00"/>
    <d v="2022-01-01T00:00:00"/>
    <n v="724"/>
    <n v="918"/>
    <x v="2"/>
    <n v="648"/>
  </r>
  <r>
    <n v="66"/>
    <s v="Billboard"/>
    <d v="2021-11-17T00:00:00"/>
    <d v="2022-01-10T00:00:00"/>
    <n v="448"/>
    <n v="1364"/>
    <x v="1"/>
    <n v="834"/>
  </r>
  <r>
    <n v="100"/>
    <s v="Socialmedia"/>
    <d v="2021-12-01T00:00:00"/>
    <d v="2021-12-31T00:00:00"/>
    <n v="653"/>
    <n v="1494"/>
    <x v="0"/>
    <n v="726"/>
  </r>
  <r>
    <n v="94"/>
    <s v="Billboard"/>
    <d v="2021-10-24T00:00:00"/>
    <d v="2022-01-02T00:00:00"/>
    <n v="400"/>
    <n v="905"/>
    <x v="1"/>
    <n v="1369"/>
  </r>
  <r>
    <n v="70"/>
    <s v="Socialmedia"/>
    <d v="2021-11-19T00:00:00"/>
    <d v="2022-01-05T00:00:00"/>
    <n v="333"/>
    <n v="1373"/>
    <x v="3"/>
    <n v="614"/>
  </r>
  <r>
    <n v="79"/>
    <s v="E-mail"/>
    <d v="2021-11-22T00:00:00"/>
    <d v="2022-01-06T00:00:00"/>
    <n v="304"/>
    <n v="1167"/>
    <x v="4"/>
    <n v="716"/>
  </r>
  <r>
    <n v="88"/>
    <s v="E-mail"/>
    <d v="2021-11-17T00:00:00"/>
    <d v="2022-01-07T00:00:00"/>
    <n v="473"/>
    <n v="1121"/>
    <x v="2"/>
    <n v="527"/>
  </r>
  <r>
    <n v="81"/>
    <s v="Socialmedia"/>
    <d v="2021-10-27T00:00:00"/>
    <d v="2022-01-04T00:00:00"/>
    <n v="504"/>
    <n v="1153"/>
    <x v="2"/>
    <n v="1469"/>
  </r>
  <r>
    <n v="96"/>
    <s v="E-mail"/>
    <d v="2021-11-16T00:00:00"/>
    <d v="2021-12-31T00:00:00"/>
    <n v="321"/>
    <n v="1368"/>
    <x v="4"/>
    <n v="983"/>
  </r>
  <r>
    <n v="66"/>
    <s v="Socialmedia"/>
    <d v="2021-12-05T00:00:00"/>
    <d v="2022-01-06T00:00:00"/>
    <n v="361"/>
    <n v="1014"/>
    <x v="5"/>
    <n v="1009"/>
  </r>
  <r>
    <n v="97"/>
    <s v="Socialmedia"/>
    <d v="2021-12-06T00:00:00"/>
    <d v="2022-01-02T00:00:00"/>
    <n v="381"/>
    <n v="1045"/>
    <x v="1"/>
    <n v="970"/>
  </r>
  <r>
    <n v="77"/>
    <s v="Socialmedia"/>
    <d v="2021-11-12T00:00:00"/>
    <d v="2022-01-07T00:00:00"/>
    <n v="252"/>
    <n v="990"/>
    <x v="4"/>
    <n v="895"/>
  </r>
  <r>
    <n v="95"/>
    <s v="Socialmedia"/>
    <d v="2021-10-31T00:00:00"/>
    <d v="2021-12-31T00:00:00"/>
    <n v="416"/>
    <n v="1374"/>
    <x v="5"/>
    <n v="881"/>
  </r>
  <r>
    <n v="100"/>
    <s v="Billboard"/>
    <d v="2021-11-22T00:00:00"/>
    <d v="2022-01-03T00:00:00"/>
    <n v="209"/>
    <n v="1334"/>
    <x v="5"/>
    <n v="1494"/>
  </r>
  <r>
    <n v="100"/>
    <s v="Billboard"/>
    <d v="2021-11-12T00:00:00"/>
    <d v="2021-12-31T00:00:00"/>
    <n v="396"/>
    <n v="1307"/>
    <x v="1"/>
    <n v="664"/>
  </r>
  <r>
    <n v="61"/>
    <s v="E-mail"/>
    <d v="2021-11-24T00:00:00"/>
    <d v="2022-01-06T00:00:00"/>
    <n v="419"/>
    <n v="1216"/>
    <x v="5"/>
    <n v="1311"/>
  </r>
  <r>
    <n v="73"/>
    <s v="E-mail"/>
    <d v="2021-11-23T00:00:00"/>
    <d v="2022-01-09T00:00:00"/>
    <n v="485"/>
    <n v="1384"/>
    <x v="2"/>
    <n v="592"/>
  </r>
  <r>
    <n v="100"/>
    <s v="Billboard"/>
    <d v="2021-11-10T00:00:00"/>
    <d v="2022-01-03T00:00:00"/>
    <n v="389"/>
    <n v="1076"/>
    <x v="5"/>
    <n v="1168"/>
  </r>
  <r>
    <n v="97"/>
    <s v="Billboard"/>
    <d v="2021-11-20T00:00:00"/>
    <d v="2022-01-05T00:00:00"/>
    <n v="748"/>
    <n v="1384"/>
    <x v="2"/>
    <n v="1007"/>
  </r>
  <r>
    <n v="77"/>
    <s v="Billboard"/>
    <d v="2021-11-26T00:00:00"/>
    <d v="2022-01-05T00:00:00"/>
    <n v="517"/>
    <n v="994"/>
    <x v="5"/>
    <n v="812"/>
  </r>
  <r>
    <n v="83"/>
    <s v="Socialmedia"/>
    <d v="2021-10-28T00:00:00"/>
    <d v="2022-01-01T00:00:00"/>
    <n v="262"/>
    <n v="1378"/>
    <x v="3"/>
    <n v="1091"/>
  </r>
  <r>
    <n v="95"/>
    <s v="Socialmedia"/>
    <d v="2021-11-29T00:00:00"/>
    <d v="2022-01-05T00:00:00"/>
    <n v="358"/>
    <n v="1220"/>
    <x v="4"/>
    <n v="620"/>
  </r>
  <r>
    <n v="76"/>
    <s v="Socialmedia"/>
    <d v="2021-11-01T00:00:00"/>
    <d v="2022-01-10T00:00:00"/>
    <n v="428"/>
    <n v="1101"/>
    <x v="2"/>
    <n v="1455"/>
  </r>
  <r>
    <n v="87"/>
    <s v="Billboard"/>
    <d v="2021-10-15T00:00:00"/>
    <d v="2022-01-05T00:00:00"/>
    <n v="383"/>
    <n v="1013"/>
    <x v="5"/>
    <n v="652"/>
  </r>
  <r>
    <n v="67"/>
    <s v="Billboard"/>
    <d v="2021-12-07T00:00:00"/>
    <d v="2022-01-07T00:00:00"/>
    <n v="372"/>
    <n v="1257"/>
    <x v="1"/>
    <n v="688"/>
  </r>
  <r>
    <n v="60"/>
    <s v="Billboard"/>
    <d v="2021-11-24T00:00:00"/>
    <d v="2022-01-02T00:00:00"/>
    <n v="305"/>
    <n v="1420"/>
    <x v="3"/>
    <n v="1432"/>
  </r>
  <r>
    <n v="74"/>
    <s v="E-mail"/>
    <d v="2021-12-02T00:00:00"/>
    <d v="2022-01-02T00:00:00"/>
    <n v="261"/>
    <n v="1358"/>
    <x v="5"/>
    <n v="551"/>
  </r>
  <r>
    <n v="76"/>
    <s v="Billboard"/>
    <d v="2021-11-30T00:00:00"/>
    <d v="2022-01-10T00:00:00"/>
    <n v="412"/>
    <n v="1077"/>
    <x v="3"/>
    <n v="688"/>
  </r>
  <r>
    <n v="98"/>
    <s v="Socialmedia"/>
    <d v="2021-11-10T00:00:00"/>
    <d v="2022-01-02T00:00:00"/>
    <n v="717"/>
    <n v="1366"/>
    <x v="5"/>
    <n v="808"/>
  </r>
  <r>
    <n v="98"/>
    <s v="Socialmedia"/>
    <d v="2021-10-20T00:00:00"/>
    <d v="2022-01-07T00:00:00"/>
    <n v="440"/>
    <n v="1300"/>
    <x v="4"/>
    <n v="909"/>
  </r>
  <r>
    <n v="69"/>
    <s v="Socialmedia"/>
    <d v="2021-12-02T00:00:00"/>
    <d v="2022-01-10T00:00:00"/>
    <n v="577"/>
    <n v="939"/>
    <x v="2"/>
    <n v="1364"/>
  </r>
  <r>
    <n v="98"/>
    <s v="Socialmedia"/>
    <d v="2021-10-29T00:00:00"/>
    <d v="2022-01-01T00:00:00"/>
    <n v="216"/>
    <n v="1432"/>
    <x v="1"/>
    <n v="846"/>
  </r>
  <r>
    <n v="96"/>
    <s v="Socialmedia"/>
    <d v="2021-11-08T00:00:00"/>
    <d v="2022-01-05T00:00:00"/>
    <n v="313"/>
    <n v="800"/>
    <x v="0"/>
    <n v="1340"/>
  </r>
  <r>
    <n v="62"/>
    <s v="Socialmedia"/>
    <d v="2021-11-22T00:00:00"/>
    <d v="2022-01-02T00:00:00"/>
    <n v="410"/>
    <n v="1190"/>
    <x v="1"/>
    <n v="1114"/>
  </r>
  <r>
    <n v="93"/>
    <s v="Socialmedia"/>
    <d v="2021-11-24T00:00:00"/>
    <d v="2022-01-02T00:00:00"/>
    <n v="402"/>
    <n v="1275"/>
    <x v="1"/>
    <n v="1407"/>
  </r>
  <r>
    <n v="81"/>
    <s v="Socialmedia"/>
    <d v="2021-11-29T00:00:00"/>
    <d v="2022-01-05T00:00:00"/>
    <n v="650"/>
    <n v="1156"/>
    <x v="5"/>
    <n v="881"/>
  </r>
  <r>
    <n v="89"/>
    <s v="Socialmedia"/>
    <d v="2021-11-02T00:00:00"/>
    <d v="2021-12-31T00:00:00"/>
    <n v="419"/>
    <n v="1411"/>
    <x v="3"/>
    <n v="801"/>
  </r>
  <r>
    <n v="63"/>
    <s v="E-mail"/>
    <d v="2021-11-29T00:00:00"/>
    <d v="2022-01-04T00:00:00"/>
    <n v="572"/>
    <n v="989"/>
    <x v="1"/>
    <n v="891"/>
  </r>
  <r>
    <n v="77"/>
    <s v="Billboard"/>
    <d v="2021-10-20T00:00:00"/>
    <d v="2021-12-31T00:00:00"/>
    <n v="261"/>
    <n v="1409"/>
    <x v="5"/>
    <n v="1105"/>
  </r>
  <r>
    <n v="85"/>
    <s v="E-mail"/>
    <d v="2021-11-15T00:00:00"/>
    <d v="2022-01-03T00:00:00"/>
    <n v="643"/>
    <n v="839"/>
    <x v="5"/>
    <n v="1462"/>
  </r>
  <r>
    <n v="78"/>
    <s v="Billboard"/>
    <d v="2021-11-30T00:00:00"/>
    <d v="2022-01-07T00:00:00"/>
    <n v="564"/>
    <n v="1088"/>
    <x v="3"/>
    <n v="1467"/>
  </r>
  <r>
    <n v="88"/>
    <s v="Socialmedia"/>
    <d v="2021-11-01T00:00:00"/>
    <d v="2022-01-03T00:00:00"/>
    <n v="200"/>
    <n v="1043"/>
    <x v="1"/>
    <n v="1046"/>
  </r>
  <r>
    <n v="96"/>
    <s v="Socialmedia"/>
    <d v="2021-10-15T00:00:00"/>
    <d v="2022-01-10T00:00:00"/>
    <n v="264"/>
    <n v="832"/>
    <x v="5"/>
    <n v="1038"/>
  </r>
  <r>
    <n v="92"/>
    <s v="Billboard"/>
    <d v="2021-10-23T00:00:00"/>
    <d v="2021-12-31T00:00:00"/>
    <n v="602"/>
    <n v="1351"/>
    <x v="4"/>
    <n v="1121"/>
  </r>
  <r>
    <n v="80"/>
    <s v="Billboard"/>
    <d v="2021-10-26T00:00:00"/>
    <d v="2022-01-04T00:00:00"/>
    <n v="434"/>
    <n v="1333"/>
    <x v="5"/>
    <n v="1462"/>
  </r>
  <r>
    <n v="57"/>
    <s v="Billboard"/>
    <d v="2021-11-09T00:00:00"/>
    <d v="2022-01-07T00:00:00"/>
    <n v="750"/>
    <n v="816"/>
    <x v="1"/>
    <n v="1256"/>
  </r>
  <r>
    <n v="92"/>
    <s v="Billboard"/>
    <d v="2021-11-03T00:00:00"/>
    <d v="2022-01-02T00:00:00"/>
    <n v="689"/>
    <n v="946"/>
    <x v="5"/>
    <n v="569"/>
  </r>
  <r>
    <n v="83"/>
    <s v="Billboard"/>
    <d v="2021-11-10T00:00:00"/>
    <d v="2022-01-08T00:00:00"/>
    <n v="562"/>
    <n v="856"/>
    <x v="1"/>
    <n v="1129"/>
  </r>
  <r>
    <n v="66"/>
    <s v="Socialmedia"/>
    <d v="2021-10-21T00:00:00"/>
    <d v="2021-12-31T00:00:00"/>
    <n v="603"/>
    <n v="1421"/>
    <x v="3"/>
    <n v="741"/>
  </r>
  <r>
    <n v="74"/>
    <s v="Billboard"/>
    <d v="2021-11-14T00:00:00"/>
    <d v="2022-01-02T00:00:00"/>
    <n v="235"/>
    <n v="1153"/>
    <x v="3"/>
    <n v="1490"/>
  </r>
  <r>
    <n v="75"/>
    <s v="Socialmedia"/>
    <d v="2021-10-16T00:00:00"/>
    <d v="2022-01-09T00:00:00"/>
    <n v="365"/>
    <n v="1441"/>
    <x v="5"/>
    <n v="1032"/>
  </r>
  <r>
    <n v="100"/>
    <s v="Billboard"/>
    <d v="2021-10-27T00:00:00"/>
    <d v="2021-12-31T00:00:00"/>
    <n v="203"/>
    <n v="950"/>
    <x v="2"/>
    <n v="851"/>
  </r>
  <r>
    <n v="56"/>
    <s v="Socialmedia"/>
    <d v="2021-11-30T00:00:00"/>
    <d v="2021-12-31T00:00:00"/>
    <n v="349"/>
    <n v="802"/>
    <x v="5"/>
    <n v="1061"/>
  </r>
  <r>
    <n v="97"/>
    <s v="E-mail"/>
    <d v="2021-10-20T00:00:00"/>
    <d v="2022-01-02T00:00:00"/>
    <n v="503"/>
    <n v="1070"/>
    <x v="2"/>
    <n v="1315"/>
  </r>
  <r>
    <n v="84"/>
    <s v="Billboard"/>
    <d v="2021-12-08T00:00:00"/>
    <d v="2022-01-03T00:00:00"/>
    <n v="246"/>
    <n v="1121"/>
    <x v="3"/>
    <n v="1018"/>
  </r>
  <r>
    <n v="82"/>
    <s v="Socialmedia"/>
    <d v="2021-11-27T00:00:00"/>
    <d v="2022-01-03T00:00:00"/>
    <n v="408"/>
    <n v="888"/>
    <x v="0"/>
    <n v="823"/>
  </r>
  <r>
    <n v="71"/>
    <s v="E-mail"/>
    <d v="2021-10-15T00:00:00"/>
    <d v="2022-01-07T00:00:00"/>
    <n v="271"/>
    <n v="961"/>
    <x v="2"/>
    <n v="1091"/>
  </r>
  <r>
    <n v="81"/>
    <s v="E-mail"/>
    <d v="2021-10-20T00:00:00"/>
    <d v="2022-01-08T00:00:00"/>
    <n v="713"/>
    <n v="989"/>
    <x v="3"/>
    <n v="816"/>
  </r>
  <r>
    <n v="72"/>
    <s v="E-mail"/>
    <d v="2021-11-07T00:00:00"/>
    <d v="2022-01-01T00:00:00"/>
    <n v="561"/>
    <n v="1116"/>
    <x v="1"/>
    <n v="647"/>
  </r>
  <r>
    <n v="69"/>
    <s v="E-mail"/>
    <d v="2021-11-08T00:00:00"/>
    <d v="2022-01-06T00:00:00"/>
    <n v="229"/>
    <n v="1219"/>
    <x v="0"/>
    <n v="1405"/>
  </r>
  <r>
    <n v="62"/>
    <s v="E-mail"/>
    <d v="2021-12-02T00:00:00"/>
    <d v="2022-01-01T00:00:00"/>
    <n v="320"/>
    <n v="941"/>
    <x v="2"/>
    <n v="915"/>
  </r>
  <r>
    <n v="80"/>
    <s v="E-mail"/>
    <d v="2021-12-02T00:00:00"/>
    <d v="2022-01-08T00:00:00"/>
    <n v="534"/>
    <n v="1498"/>
    <x v="0"/>
    <n v="1088"/>
  </r>
  <r>
    <n v="81"/>
    <s v="Billboard"/>
    <d v="2021-11-23T00:00:00"/>
    <d v="2021-12-31T00:00:00"/>
    <n v="245"/>
    <n v="1073"/>
    <x v="5"/>
    <n v="1227"/>
  </r>
  <r>
    <n v="90"/>
    <s v="Socialmedia"/>
    <d v="2021-11-02T00:00:00"/>
    <d v="2022-01-06T00:00:00"/>
    <n v="332"/>
    <n v="1185"/>
    <x v="1"/>
    <n v="1134"/>
  </r>
  <r>
    <n v="87"/>
    <s v="Socialmedia"/>
    <d v="2021-10-16T00:00:00"/>
    <d v="2022-01-08T00:00:00"/>
    <n v="223"/>
    <n v="1025"/>
    <x v="5"/>
    <n v="1143"/>
  </r>
  <r>
    <n v="80"/>
    <s v="E-mail"/>
    <d v="2021-11-02T00:00:00"/>
    <d v="2022-01-09T00:00:00"/>
    <n v="330"/>
    <n v="874"/>
    <x v="5"/>
    <n v="638"/>
  </r>
  <r>
    <n v="94"/>
    <s v="E-mail"/>
    <d v="2021-11-21T00:00:00"/>
    <d v="2022-01-06T00:00:00"/>
    <n v="402"/>
    <n v="1045"/>
    <x v="2"/>
    <n v="845"/>
  </r>
  <r>
    <n v="69"/>
    <s v="Billboard"/>
    <d v="2021-11-14T00:00:00"/>
    <d v="2022-01-06T00:00:00"/>
    <n v="304"/>
    <n v="1351"/>
    <x v="0"/>
    <n v="873"/>
  </r>
  <r>
    <n v="69"/>
    <s v="E-mail"/>
    <d v="2021-11-17T00:00:00"/>
    <d v="2022-01-07T00:00:00"/>
    <n v="660"/>
    <n v="1375"/>
    <x v="2"/>
    <n v="1122"/>
  </r>
  <r>
    <n v="80"/>
    <s v="Billboard"/>
    <d v="2021-11-22T00:00:00"/>
    <d v="2021-12-31T00:00:00"/>
    <n v="571"/>
    <n v="986"/>
    <x v="0"/>
    <n v="1142"/>
  </r>
  <r>
    <n v="97"/>
    <s v="Socialmedia"/>
    <d v="2021-11-04T00:00:00"/>
    <d v="2022-01-05T00:00:00"/>
    <n v="659"/>
    <n v="906"/>
    <x v="1"/>
    <n v="605"/>
  </r>
  <r>
    <n v="95"/>
    <s v="E-mail"/>
    <d v="2021-11-06T00:00:00"/>
    <d v="2022-01-08T00:00:00"/>
    <n v="462"/>
    <n v="1136"/>
    <x v="5"/>
    <n v="752"/>
  </r>
  <r>
    <n v="68"/>
    <s v="E-mail"/>
    <d v="2021-10-17T00:00:00"/>
    <d v="2022-01-03T00:00:00"/>
    <n v="298"/>
    <n v="838"/>
    <x v="0"/>
    <n v="773"/>
  </r>
  <r>
    <n v="94"/>
    <s v="Billboard"/>
    <d v="2021-10-21T00:00:00"/>
    <d v="2022-01-04T00:00:00"/>
    <n v="556"/>
    <n v="1054"/>
    <x v="0"/>
    <n v="911"/>
  </r>
  <r>
    <n v="96"/>
    <s v="E-mail"/>
    <d v="2021-12-07T00:00:00"/>
    <d v="2022-01-04T00:00:00"/>
    <n v="486"/>
    <n v="1070"/>
    <x v="5"/>
    <n v="802"/>
  </r>
  <r>
    <n v="73"/>
    <s v="Socialmedia"/>
    <d v="2021-10-17T00:00:00"/>
    <d v="2022-01-09T00:00:00"/>
    <n v="468"/>
    <n v="1464"/>
    <x v="0"/>
    <n v="623"/>
  </r>
  <r>
    <n v="95"/>
    <s v="E-mail"/>
    <d v="2021-12-04T00:00:00"/>
    <d v="2021-12-31T00:00:00"/>
    <n v="419"/>
    <n v="876"/>
    <x v="2"/>
    <n v="1334"/>
  </r>
  <r>
    <n v="89"/>
    <s v="Billboard"/>
    <d v="2021-11-10T00:00:00"/>
    <d v="2022-01-02T00:00:00"/>
    <n v="528"/>
    <n v="1411"/>
    <x v="3"/>
    <n v="815"/>
  </r>
  <r>
    <n v="64"/>
    <s v="Billboard"/>
    <d v="2021-12-07T00:00:00"/>
    <d v="2022-01-10T00:00:00"/>
    <n v="307"/>
    <n v="849"/>
    <x v="1"/>
    <n v="1356"/>
  </r>
  <r>
    <n v="81"/>
    <s v="E-mail"/>
    <d v="2021-11-02T00:00:00"/>
    <d v="2022-01-08T00:00:00"/>
    <n v="645"/>
    <n v="1346"/>
    <x v="3"/>
    <n v="1411"/>
  </r>
  <r>
    <n v="65"/>
    <s v="E-mail"/>
    <d v="2021-12-08T00:00:00"/>
    <d v="2022-01-06T00:00:00"/>
    <n v="315"/>
    <n v="1275"/>
    <x v="5"/>
    <n v="1060"/>
  </r>
  <r>
    <n v="72"/>
    <s v="E-mail"/>
    <d v="2021-12-06T00:00:00"/>
    <d v="2022-01-04T00:00:00"/>
    <n v="571"/>
    <n v="963"/>
    <x v="5"/>
    <n v="1116"/>
  </r>
  <r>
    <n v="66"/>
    <s v="E-mail"/>
    <d v="2021-11-06T00:00:00"/>
    <d v="2022-01-10T00:00:00"/>
    <n v="463"/>
    <n v="1084"/>
    <x v="2"/>
    <n v="1207"/>
  </r>
  <r>
    <n v="70"/>
    <s v="Billboard"/>
    <d v="2021-11-02T00:00:00"/>
    <d v="2022-01-02T00:00:00"/>
    <n v="314"/>
    <n v="1239"/>
    <x v="0"/>
    <n v="610"/>
  </r>
  <r>
    <n v="99"/>
    <s v="Socialmedia"/>
    <d v="2021-11-04T00:00:00"/>
    <d v="2021-12-31T00:00:00"/>
    <n v="550"/>
    <n v="1302"/>
    <x v="3"/>
    <n v="690"/>
  </r>
  <r>
    <n v="87"/>
    <s v="Billboard"/>
    <d v="2021-11-15T00:00:00"/>
    <d v="2022-01-04T00:00:00"/>
    <n v="478"/>
    <n v="1023"/>
    <x v="5"/>
    <n v="1114"/>
  </r>
  <r>
    <n v="81"/>
    <s v="Billboard"/>
    <d v="2021-12-08T00:00:00"/>
    <d v="2022-01-04T00:00:00"/>
    <n v="635"/>
    <n v="803"/>
    <x v="3"/>
    <n v="819"/>
  </r>
  <r>
    <n v="99"/>
    <s v="Socialmedia"/>
    <d v="2021-10-21T00:00:00"/>
    <d v="2022-01-01T00:00:00"/>
    <n v="446"/>
    <n v="1217"/>
    <x v="4"/>
    <n v="1393"/>
  </r>
  <r>
    <n v="78"/>
    <s v="Socialmedia"/>
    <d v="2021-11-11T00:00:00"/>
    <d v="2022-01-05T00:00:00"/>
    <n v="204"/>
    <n v="948"/>
    <x v="3"/>
    <n v="1416"/>
  </r>
  <r>
    <n v="98"/>
    <s v="Socialmedia"/>
    <d v="2021-11-16T00:00:00"/>
    <d v="2022-01-04T00:00:00"/>
    <n v="349"/>
    <n v="1101"/>
    <x v="2"/>
    <n v="658"/>
  </r>
  <r>
    <n v="93"/>
    <s v="Socialmedia"/>
    <d v="2021-11-04T00:00:00"/>
    <d v="2022-01-07T00:00:00"/>
    <n v="604"/>
    <n v="1069"/>
    <x v="2"/>
    <n v="1443"/>
  </r>
  <r>
    <n v="84"/>
    <s v="Socialmedia"/>
    <d v="2021-10-28T00:00:00"/>
    <d v="2022-01-10T00:00:00"/>
    <n v="556"/>
    <n v="931"/>
    <x v="2"/>
    <n v="1213"/>
  </r>
  <r>
    <n v="76"/>
    <s v="E-mail"/>
    <d v="2021-10-29T00:00:00"/>
    <d v="2022-01-04T00:00:00"/>
    <n v="643"/>
    <n v="1150"/>
    <x v="3"/>
    <n v="1235"/>
  </r>
  <r>
    <n v="91"/>
    <s v="E-mail"/>
    <d v="2021-11-07T00:00:00"/>
    <d v="2022-01-09T00:00:00"/>
    <n v="735"/>
    <n v="842"/>
    <x v="4"/>
    <n v="1324"/>
  </r>
  <r>
    <n v="62"/>
    <s v="E-mail"/>
    <d v="2021-10-15T00:00:00"/>
    <d v="2022-01-07T00:00:00"/>
    <n v="724"/>
    <n v="1402"/>
    <x v="4"/>
    <n v="1394"/>
  </r>
  <r>
    <n v="88"/>
    <s v="Socialmedia"/>
    <d v="2021-10-28T00:00:00"/>
    <d v="2022-01-06T00:00:00"/>
    <n v="215"/>
    <n v="872"/>
    <x v="3"/>
    <n v="770"/>
  </r>
  <r>
    <n v="61"/>
    <s v="Billboard"/>
    <d v="2021-12-08T00:00:00"/>
    <d v="2022-01-08T00:00:00"/>
    <n v="542"/>
    <n v="937"/>
    <x v="0"/>
    <n v="1271"/>
  </r>
  <r>
    <n v="61"/>
    <s v="Billboard"/>
    <d v="2021-10-18T00:00:00"/>
    <d v="2022-01-07T00:00:00"/>
    <n v="547"/>
    <n v="1309"/>
    <x v="1"/>
    <n v="1003"/>
  </r>
  <r>
    <n v="80"/>
    <s v="E-mail"/>
    <d v="2021-10-30T00:00:00"/>
    <d v="2022-01-02T00:00:00"/>
    <n v="638"/>
    <n v="828"/>
    <x v="5"/>
    <n v="1465"/>
  </r>
  <r>
    <n v="76"/>
    <s v="E-mail"/>
    <d v="2021-10-31T00:00:00"/>
    <d v="2022-01-07T00:00:00"/>
    <n v="493"/>
    <n v="1406"/>
    <x v="3"/>
    <n v="612"/>
  </r>
  <r>
    <n v="62"/>
    <s v="Socialmedia"/>
    <d v="2021-11-08T00:00:00"/>
    <d v="2022-01-02T00:00:00"/>
    <n v="318"/>
    <n v="996"/>
    <x v="2"/>
    <n v="1123"/>
  </r>
  <r>
    <n v="69"/>
    <s v="Billboard"/>
    <d v="2021-11-02T00:00:00"/>
    <d v="2022-01-07T00:00:00"/>
    <n v="376"/>
    <n v="1084"/>
    <x v="5"/>
    <n v="1013"/>
  </r>
  <r>
    <n v="65"/>
    <s v="Socialmedia"/>
    <d v="2021-11-16T00:00:00"/>
    <d v="2022-01-10T00:00:00"/>
    <n v="486"/>
    <n v="923"/>
    <x v="2"/>
    <n v="894"/>
  </r>
  <r>
    <n v="65"/>
    <s v="Billboard"/>
    <d v="2021-11-12T00:00:00"/>
    <d v="2022-01-01T00:00:00"/>
    <n v="590"/>
    <n v="846"/>
    <x v="4"/>
    <n v="1057"/>
  </r>
  <r>
    <n v="80"/>
    <s v="Socialmedia"/>
    <d v="2021-10-29T00:00:00"/>
    <d v="2021-12-31T00:00:00"/>
    <n v="737"/>
    <n v="1027"/>
    <x v="3"/>
    <n v="9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52218-083E-49A8-B3D3-7DEAB7B0CB8D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11"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3" showAll="0"/>
    <pivotField showAll="0"/>
    <pivotField showAll="0"/>
    <pivotField numFmtId="2" showAll="0"/>
    <pivotField showAll="0"/>
    <pivotField dataField="1" numFmtId="3" showAll="0"/>
    <pivotField showAll="0"/>
    <pivotField showAll="0"/>
    <pivotField showAll="0"/>
  </pivotFields>
  <rowItems count="1">
    <i/>
  </rowItems>
  <colItems count="1">
    <i/>
  </colItems>
  <dataFields count="1">
    <dataField name="Number of Customer" fld="7" baseField="0" baseItem="133077401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0D1D2-513C-46D2-9A12-E24C188AEF8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1"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showAll="0"/>
    <pivotField showAll="0"/>
    <pivotField numFmtId="2" showAll="0"/>
    <pivotField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total view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1913A-B3DC-4AFF-9300-A6E5883F88A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14" firstHeaderRow="1" firstDataRow="1" firstDataCol="1"/>
  <pivotFields count="11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3" showAll="0"/>
    <pivotField showAll="0"/>
    <pivotField showAll="0"/>
    <pivotField numFmtId="2" showAll="0"/>
    <pivotField dataField="1" showAll="0"/>
    <pivotField numFmtId="3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 Projection ($)" fld="6" baseField="0" baseItem="0"/>
  </dataFields>
  <chartFormats count="2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89E88-7226-415A-990E-71E48EE743AC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I7:J14" firstHeaderRow="1" firstDataRow="1" firstDataCol="1"/>
  <pivotFields count="11">
    <pivotField showAll="0"/>
    <pivotField axis="axisRow" showAll="0" measureFilter="1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showAll="0"/>
    <pivotField showAll="0"/>
    <pivotField numFmtId="2" showAll="0"/>
    <pivotField showAll="0"/>
    <pivotField dataField="1" numFmtId="3" showAll="0"/>
    <pivotField showAll="0"/>
    <pivotField showAll="0"/>
    <pivotField showAll="0"/>
  </pivotFields>
  <rowFields count="1">
    <field x="1"/>
  </rowFields>
  <rowItems count="7">
    <i>
      <x v="3"/>
    </i>
    <i>
      <x v="4"/>
    </i>
    <i>
      <x v="8"/>
    </i>
    <i>
      <x v="9"/>
    </i>
    <i>
      <x v="1"/>
    </i>
    <i>
      <x v="5"/>
    </i>
    <i t="grand">
      <x/>
    </i>
  </rowItems>
  <colItems count="1">
    <i/>
  </colItems>
  <dataFields count="1">
    <dataField name="Sum of Number of Customers" fld="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77C9C-E54C-4905-975D-8125410F087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G7" firstHeaderRow="1" firstDataRow="1" firstDataCol="0"/>
  <pivotFields count="11"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3" showAll="0"/>
    <pivotField showAll="0"/>
    <pivotField showAll="0"/>
    <pivotField numFmtId="2" showAll="0"/>
    <pivotField dataField="1" showAll="0"/>
    <pivotField numFmtId="3" showAll="0"/>
    <pivotField showAll="0"/>
    <pivotField showAll="0"/>
    <pivotField showAll="0"/>
  </pivotFields>
  <rowItems count="1">
    <i/>
  </rowItems>
  <colItems count="1">
    <i/>
  </colItems>
  <dataFields count="1">
    <dataField name="Average of Sales Projection ($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995C5-F3F4-4289-8CB0-F30C958C9FAF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11"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3" showAll="0"/>
    <pivotField showAll="0"/>
    <pivotField showAll="0"/>
    <pivotField numFmtId="2" showAll="0"/>
    <pivotField showAll="0"/>
    <pivotField numFmtId="3" showAll="0"/>
    <pivotField dataField="1" showAll="0"/>
    <pivotField showAll="0"/>
    <pivotField showAll="0"/>
  </pivotFields>
  <rowItems count="1">
    <i/>
  </rowItems>
  <colItems count="1">
    <i/>
  </colItems>
  <dataFields count="1">
    <dataField name="Aveg of Customer Acquisition Rate (%)" fld="8" subtotal="average" baseField="0" baseItem="133077401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0EBE4-0565-43FE-B035-1713744E617B}" name="PivotTable1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1:B7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6">
        <item x="3"/>
        <item x="0"/>
        <item x="4"/>
        <item x="1"/>
        <item x="5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Channel Used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570E-0CF8-475D-8450-0963D64A5BB3}">
  <dimension ref="A1:K22"/>
  <sheetViews>
    <sheetView zoomScale="85" zoomScaleNormal="85" workbookViewId="0">
      <selection activeCell="B21" sqref="B21:C22"/>
    </sheetView>
  </sheetViews>
  <sheetFormatPr defaultRowHeight="15" x14ac:dyDescent="0.25"/>
  <cols>
    <col min="1" max="1" width="10.7109375" customWidth="1"/>
    <col min="2" max="2" width="20.7109375" customWidth="1"/>
    <col min="9" max="9" width="15.28515625" customWidth="1"/>
    <col min="10" max="10" width="14.7109375" customWidth="1"/>
  </cols>
  <sheetData>
    <row r="1" spans="1:11" ht="60.75" thickBot="1" x14ac:dyDescent="0.3">
      <c r="A1" s="10" t="s">
        <v>0</v>
      </c>
      <c r="B1" s="11" t="s">
        <v>1</v>
      </c>
      <c r="C1" s="8" t="s">
        <v>21</v>
      </c>
      <c r="D1" s="1" t="s">
        <v>2</v>
      </c>
      <c r="E1" s="1" t="s">
        <v>24</v>
      </c>
      <c r="F1" s="1" t="s">
        <v>25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7.25" thickBot="1" x14ac:dyDescent="0.3">
      <c r="A2" s="10">
        <v>2022</v>
      </c>
      <c r="B2" s="12" t="s">
        <v>8</v>
      </c>
      <c r="C2" s="9">
        <v>170000</v>
      </c>
      <c r="D2" s="2">
        <v>13</v>
      </c>
      <c r="E2" s="2">
        <v>4</v>
      </c>
      <c r="F2" s="3">
        <v>0.22</v>
      </c>
      <c r="G2" s="4">
        <v>900000</v>
      </c>
      <c r="H2" s="5">
        <v>4000</v>
      </c>
      <c r="I2" s="2">
        <v>17</v>
      </c>
      <c r="J2" s="2">
        <v>179</v>
      </c>
      <c r="K2" s="2">
        <v>89</v>
      </c>
    </row>
    <row r="3" spans="1:11" ht="17.25" thickBot="1" x14ac:dyDescent="0.3">
      <c r="A3" s="10"/>
      <c r="B3" s="12" t="s">
        <v>9</v>
      </c>
      <c r="C3" s="9">
        <v>200000</v>
      </c>
      <c r="D3" s="2">
        <v>20</v>
      </c>
      <c r="E3" s="2">
        <v>5.2</v>
      </c>
      <c r="F3" s="3">
        <v>0.48</v>
      </c>
      <c r="G3" s="4">
        <v>1200000</v>
      </c>
      <c r="H3" s="5">
        <v>4300</v>
      </c>
      <c r="I3" s="2">
        <v>16</v>
      </c>
      <c r="J3" s="2">
        <v>170</v>
      </c>
      <c r="K3" s="2">
        <v>76</v>
      </c>
    </row>
    <row r="4" spans="1:11" ht="17.25" thickBot="1" x14ac:dyDescent="0.3">
      <c r="A4" s="10"/>
      <c r="B4" s="12" t="s">
        <v>10</v>
      </c>
      <c r="C4" s="9">
        <v>195000</v>
      </c>
      <c r="D4" s="2">
        <v>21</v>
      </c>
      <c r="E4" s="2">
        <v>2.6</v>
      </c>
      <c r="F4" s="3">
        <v>0.36</v>
      </c>
      <c r="G4" s="4">
        <v>850000</v>
      </c>
      <c r="H4" s="5">
        <v>3000</v>
      </c>
      <c r="I4" s="2">
        <v>19</v>
      </c>
      <c r="J4" s="2">
        <v>180</v>
      </c>
      <c r="K4" s="2">
        <v>80</v>
      </c>
    </row>
    <row r="5" spans="1:11" ht="17.25" thickBot="1" x14ac:dyDescent="0.3">
      <c r="A5" s="10"/>
      <c r="B5" s="12" t="s">
        <v>11</v>
      </c>
      <c r="C5" s="9">
        <v>185000</v>
      </c>
      <c r="D5" s="2">
        <v>18</v>
      </c>
      <c r="E5" s="2">
        <v>3.4</v>
      </c>
      <c r="F5" s="3">
        <v>0.39</v>
      </c>
      <c r="G5" s="4">
        <v>900000</v>
      </c>
      <c r="H5" s="5">
        <v>5500</v>
      </c>
      <c r="I5" s="2">
        <v>20</v>
      </c>
      <c r="J5" s="2">
        <v>185</v>
      </c>
      <c r="K5" s="2">
        <v>90</v>
      </c>
    </row>
    <row r="6" spans="1:11" ht="17.25" thickBot="1" x14ac:dyDescent="0.3">
      <c r="A6" s="10"/>
      <c r="B6" s="12" t="s">
        <v>12</v>
      </c>
      <c r="C6" s="9">
        <v>180000</v>
      </c>
      <c r="D6" s="2">
        <v>25</v>
      </c>
      <c r="E6" s="2">
        <v>4.2</v>
      </c>
      <c r="F6" s="3">
        <v>0.42</v>
      </c>
      <c r="G6" s="4">
        <v>700000</v>
      </c>
      <c r="H6" s="5">
        <v>5300</v>
      </c>
      <c r="I6" s="2">
        <v>16.899999999999999</v>
      </c>
      <c r="J6" s="2">
        <v>200</v>
      </c>
      <c r="K6" s="2">
        <v>78</v>
      </c>
    </row>
    <row r="7" spans="1:11" ht="17.25" thickBot="1" x14ac:dyDescent="0.3">
      <c r="A7" s="10"/>
      <c r="B7" s="12" t="s">
        <v>13</v>
      </c>
      <c r="C7" s="9">
        <v>165000</v>
      </c>
      <c r="D7" s="2">
        <v>15</v>
      </c>
      <c r="E7" s="2">
        <v>3.7</v>
      </c>
      <c r="F7" s="3">
        <v>0.37</v>
      </c>
      <c r="G7" s="4">
        <v>1200000</v>
      </c>
      <c r="H7" s="5">
        <v>4300</v>
      </c>
      <c r="I7" s="2">
        <v>18</v>
      </c>
      <c r="J7" s="2">
        <v>215</v>
      </c>
      <c r="K7" s="2">
        <v>88</v>
      </c>
    </row>
    <row r="8" spans="1:11" ht="17.25" thickBot="1" x14ac:dyDescent="0.3">
      <c r="A8" s="10"/>
      <c r="B8" s="12" t="s">
        <v>14</v>
      </c>
      <c r="C8" s="9">
        <v>150000</v>
      </c>
      <c r="D8" s="2">
        <v>20</v>
      </c>
      <c r="E8" s="2">
        <v>3.6</v>
      </c>
      <c r="F8" s="3">
        <v>0.45</v>
      </c>
      <c r="G8" s="4">
        <v>980000</v>
      </c>
      <c r="H8" s="5">
        <v>4150</v>
      </c>
      <c r="I8" s="2">
        <v>21.3</v>
      </c>
      <c r="J8" s="2">
        <v>205</v>
      </c>
      <c r="K8" s="2">
        <v>86</v>
      </c>
    </row>
    <row r="9" spans="1:11" ht="17.25" thickBot="1" x14ac:dyDescent="0.3">
      <c r="A9" s="10"/>
      <c r="B9" s="12" t="s">
        <v>15</v>
      </c>
      <c r="C9" s="9">
        <v>100000</v>
      </c>
      <c r="D9" s="2">
        <v>20</v>
      </c>
      <c r="E9" s="2">
        <v>2.9</v>
      </c>
      <c r="F9" s="3">
        <v>0.36</v>
      </c>
      <c r="G9" s="4">
        <v>650000</v>
      </c>
      <c r="H9" s="5">
        <v>2800</v>
      </c>
      <c r="I9" s="2">
        <v>20</v>
      </c>
      <c r="J9" s="2">
        <v>200</v>
      </c>
      <c r="K9" s="2">
        <v>83</v>
      </c>
    </row>
    <row r="10" spans="1:11" ht="17.25" thickBot="1" x14ac:dyDescent="0.3">
      <c r="A10" s="10"/>
      <c r="B10" s="12" t="s">
        <v>16</v>
      </c>
      <c r="C10" s="9">
        <v>120000</v>
      </c>
      <c r="D10" s="2">
        <v>29</v>
      </c>
      <c r="E10" s="2">
        <v>3</v>
      </c>
      <c r="F10" s="3">
        <v>0.37</v>
      </c>
      <c r="G10" s="4">
        <v>1300000</v>
      </c>
      <c r="H10" s="5">
        <v>5000</v>
      </c>
      <c r="I10" s="2">
        <v>22.3</v>
      </c>
      <c r="J10" s="2">
        <v>190</v>
      </c>
      <c r="K10" s="2">
        <v>79</v>
      </c>
    </row>
    <row r="11" spans="1:11" ht="17.25" thickBot="1" x14ac:dyDescent="0.3">
      <c r="A11" s="10"/>
      <c r="B11" s="12" t="s">
        <v>17</v>
      </c>
      <c r="C11" s="9">
        <v>190000</v>
      </c>
      <c r="D11" s="2">
        <v>18</v>
      </c>
      <c r="E11" s="2">
        <v>2.2000000000000002</v>
      </c>
      <c r="F11" s="3">
        <v>0.36</v>
      </c>
      <c r="G11" s="4">
        <v>880000</v>
      </c>
      <c r="H11" s="5">
        <v>4700</v>
      </c>
      <c r="I11" s="2">
        <v>21</v>
      </c>
      <c r="J11" s="2">
        <v>210</v>
      </c>
      <c r="K11" s="2">
        <v>88</v>
      </c>
    </row>
    <row r="12" spans="1:11" ht="17.25" thickBot="1" x14ac:dyDescent="0.3">
      <c r="A12" s="10"/>
      <c r="B12" s="12" t="s">
        <v>18</v>
      </c>
      <c r="C12" s="9">
        <v>180000</v>
      </c>
      <c r="D12" s="2">
        <v>28</v>
      </c>
      <c r="E12" s="2">
        <v>3.5</v>
      </c>
      <c r="F12" s="3">
        <v>0.28999999999999998</v>
      </c>
      <c r="G12" s="4">
        <v>930000</v>
      </c>
      <c r="H12" s="5">
        <v>4000</v>
      </c>
      <c r="I12" s="2">
        <v>20.5</v>
      </c>
      <c r="J12" s="2">
        <v>200</v>
      </c>
      <c r="K12" s="2">
        <v>84</v>
      </c>
    </row>
    <row r="13" spans="1:11" ht="17.25" thickBot="1" x14ac:dyDescent="0.3">
      <c r="A13" s="10"/>
      <c r="B13" s="12" t="s">
        <v>19</v>
      </c>
      <c r="C13" s="9">
        <v>220000</v>
      </c>
      <c r="D13" s="2">
        <v>34</v>
      </c>
      <c r="E13" s="2">
        <v>2.8</v>
      </c>
      <c r="F13" s="3">
        <v>0.4</v>
      </c>
      <c r="G13" s="4">
        <v>800000</v>
      </c>
      <c r="H13" s="5">
        <v>3500</v>
      </c>
      <c r="I13" s="2">
        <v>24</v>
      </c>
      <c r="J13" s="2">
        <v>250</v>
      </c>
      <c r="K13" s="2">
        <v>83</v>
      </c>
    </row>
    <row r="18" spans="1:11" x14ac:dyDescent="0.25">
      <c r="A18" s="10"/>
      <c r="B18" s="13" t="s">
        <v>20</v>
      </c>
      <c r="C18" s="6">
        <f t="shared" ref="C18:K18" si="0">AVERAGE(C2:C13)</f>
        <v>171250</v>
      </c>
      <c r="D18" s="6">
        <f t="shared" si="0"/>
        <v>21.75</v>
      </c>
      <c r="E18" s="7">
        <f t="shared" si="0"/>
        <v>3.4249999999999994</v>
      </c>
      <c r="F18" s="7">
        <f t="shared" si="0"/>
        <v>0.37250000000000005</v>
      </c>
      <c r="G18" s="6">
        <f t="shared" si="0"/>
        <v>940833.33333333337</v>
      </c>
      <c r="H18" s="6">
        <f t="shared" si="0"/>
        <v>4212.5</v>
      </c>
      <c r="I18" s="6">
        <f t="shared" si="0"/>
        <v>19.666666666666668</v>
      </c>
      <c r="J18" s="6">
        <f t="shared" si="0"/>
        <v>198.66666666666666</v>
      </c>
      <c r="K18" s="6">
        <f t="shared" si="0"/>
        <v>83.666666666666671</v>
      </c>
    </row>
    <row r="20" spans="1:11" ht="15.75" thickBot="1" x14ac:dyDescent="0.3"/>
    <row r="21" spans="1:11" ht="15.75" thickBot="1" x14ac:dyDescent="0.3">
      <c r="B21" t="s">
        <v>32</v>
      </c>
      <c r="C21" t="s">
        <v>33</v>
      </c>
      <c r="F21" s="18" t="s">
        <v>34</v>
      </c>
      <c r="G21" s="18" t="s">
        <v>35</v>
      </c>
    </row>
    <row r="22" spans="1:11" x14ac:dyDescent="0.25">
      <c r="B22">
        <v>23</v>
      </c>
      <c r="C22">
        <v>79</v>
      </c>
      <c r="F22" s="19">
        <v>9.2999999999999999E-2</v>
      </c>
      <c r="G22" s="20">
        <v>0.90100000000000002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A000-651A-4137-9310-689E6270C714}">
  <dimension ref="A1:J14"/>
  <sheetViews>
    <sheetView topLeftCell="D1" workbookViewId="0">
      <selection activeCell="J18" sqref="J18"/>
    </sheetView>
  </sheetViews>
  <sheetFormatPr defaultRowHeight="15" x14ac:dyDescent="0.25"/>
  <cols>
    <col min="1" max="1" width="13.140625" bestFit="1" customWidth="1"/>
    <col min="2" max="2" width="25" bestFit="1" customWidth="1"/>
    <col min="5" max="5" width="18.28515625" bestFit="1" customWidth="1"/>
    <col min="7" max="7" width="28.5703125" bestFit="1" customWidth="1"/>
    <col min="8" max="8" width="25" bestFit="1" customWidth="1"/>
    <col min="9" max="9" width="13.140625" bestFit="1" customWidth="1"/>
    <col min="10" max="10" width="27.5703125" bestFit="1" customWidth="1"/>
  </cols>
  <sheetData>
    <row r="1" spans="1:10" x14ac:dyDescent="0.25">
      <c r="A1" s="14" t="s">
        <v>22</v>
      </c>
      <c r="B1" t="s">
        <v>30</v>
      </c>
    </row>
    <row r="2" spans="1:10" x14ac:dyDescent="0.25">
      <c r="A2" s="15" t="s">
        <v>8</v>
      </c>
      <c r="B2">
        <v>900000</v>
      </c>
    </row>
    <row r="3" spans="1:10" x14ac:dyDescent="0.25">
      <c r="A3" s="15" t="s">
        <v>9</v>
      </c>
      <c r="B3">
        <v>1200000</v>
      </c>
      <c r="E3" t="s">
        <v>26</v>
      </c>
      <c r="G3" t="s">
        <v>29</v>
      </c>
      <c r="I3" t="s">
        <v>28</v>
      </c>
    </row>
    <row r="4" spans="1:10" x14ac:dyDescent="0.25">
      <c r="A4" s="15" t="s">
        <v>10</v>
      </c>
      <c r="B4">
        <v>850000</v>
      </c>
      <c r="E4">
        <v>2055000</v>
      </c>
      <c r="G4">
        <v>50550</v>
      </c>
      <c r="I4">
        <v>19.666666666666668</v>
      </c>
    </row>
    <row r="5" spans="1:10" x14ac:dyDescent="0.25">
      <c r="A5" s="15" t="s">
        <v>11</v>
      </c>
      <c r="B5">
        <v>900000</v>
      </c>
      <c r="E5" s="16">
        <f>GETPIVOTDATA(" View count",$E$3)</f>
        <v>2055000</v>
      </c>
      <c r="G5" s="16">
        <f>GETPIVOTDATA("Number of Customers",$G$3)</f>
        <v>50550</v>
      </c>
      <c r="I5" s="17">
        <f>GETPIVOTDATA("Customer Acquisition Rate (%)",$I$3)</f>
        <v>19.666666666666668</v>
      </c>
    </row>
    <row r="6" spans="1:10" x14ac:dyDescent="0.25">
      <c r="A6" s="15" t="s">
        <v>12</v>
      </c>
      <c r="B6">
        <v>700000</v>
      </c>
      <c r="G6" t="s">
        <v>31</v>
      </c>
    </row>
    <row r="7" spans="1:10" x14ac:dyDescent="0.25">
      <c r="A7" s="15" t="s">
        <v>13</v>
      </c>
      <c r="B7">
        <v>1200000</v>
      </c>
      <c r="G7">
        <v>940833.33333333337</v>
      </c>
      <c r="I7" s="14" t="s">
        <v>22</v>
      </c>
      <c r="J7" t="s">
        <v>27</v>
      </c>
    </row>
    <row r="8" spans="1:10" x14ac:dyDescent="0.25">
      <c r="A8" s="15" t="s">
        <v>14</v>
      </c>
      <c r="B8">
        <v>980000</v>
      </c>
      <c r="G8" s="17">
        <f>GETPIVOTDATA("Sales Projection ($)",$G$6)</f>
        <v>940833.33333333337</v>
      </c>
      <c r="I8" s="15" t="s">
        <v>11</v>
      </c>
      <c r="J8">
        <v>5500</v>
      </c>
    </row>
    <row r="9" spans="1:10" x14ac:dyDescent="0.25">
      <c r="A9" s="15" t="s">
        <v>15</v>
      </c>
      <c r="B9">
        <v>650000</v>
      </c>
      <c r="I9" s="15" t="s">
        <v>12</v>
      </c>
      <c r="J9">
        <v>5300</v>
      </c>
    </row>
    <row r="10" spans="1:10" x14ac:dyDescent="0.25">
      <c r="A10" s="15" t="s">
        <v>16</v>
      </c>
      <c r="B10">
        <v>1300000</v>
      </c>
      <c r="I10" s="15" t="s">
        <v>16</v>
      </c>
      <c r="J10">
        <v>5000</v>
      </c>
    </row>
    <row r="11" spans="1:10" x14ac:dyDescent="0.25">
      <c r="A11" s="15" t="s">
        <v>17</v>
      </c>
      <c r="B11">
        <v>880000</v>
      </c>
      <c r="I11" s="15" t="s">
        <v>17</v>
      </c>
      <c r="J11">
        <v>4700</v>
      </c>
    </row>
    <row r="12" spans="1:10" x14ac:dyDescent="0.25">
      <c r="A12" s="15" t="s">
        <v>18</v>
      </c>
      <c r="B12">
        <v>930000</v>
      </c>
      <c r="I12" s="15" t="s">
        <v>9</v>
      </c>
      <c r="J12">
        <v>4300</v>
      </c>
    </row>
    <row r="13" spans="1:10" x14ac:dyDescent="0.25">
      <c r="A13" s="15" t="s">
        <v>19</v>
      </c>
      <c r="B13">
        <v>800000</v>
      </c>
      <c r="I13" s="15" t="s">
        <v>13</v>
      </c>
      <c r="J13">
        <v>4300</v>
      </c>
    </row>
    <row r="14" spans="1:10" x14ac:dyDescent="0.25">
      <c r="A14" s="15" t="s">
        <v>23</v>
      </c>
      <c r="B14">
        <v>11290000</v>
      </c>
      <c r="I14" s="15" t="s">
        <v>23</v>
      </c>
      <c r="J14">
        <v>29100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8FE5-E5CA-47A7-89AC-D032D3C77951}">
  <dimension ref="A17"/>
  <sheetViews>
    <sheetView showGridLines="0" tabSelected="1" zoomScale="70" zoomScaleNormal="70" workbookViewId="0">
      <selection activeCell="Y13" sqref="Y13"/>
    </sheetView>
  </sheetViews>
  <sheetFormatPr defaultRowHeight="15" x14ac:dyDescent="0.25"/>
  <sheetData>
    <row r="17" customForma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0648-4C8A-4706-B43A-7D4B6753242C}">
  <dimension ref="A1:B7"/>
  <sheetViews>
    <sheetView workbookViewId="0">
      <selection activeCell="B15" sqref="B15"/>
    </sheetView>
  </sheetViews>
  <sheetFormatPr defaultRowHeight="15" x14ac:dyDescent="0.25"/>
  <cols>
    <col min="1" max="1" width="15.7109375" bestFit="1" customWidth="1"/>
    <col min="2" max="2" width="21.7109375" bestFit="1" customWidth="1"/>
  </cols>
  <sheetData>
    <row r="1" spans="1:2" x14ac:dyDescent="0.25">
      <c r="A1" s="14" t="s">
        <v>42</v>
      </c>
      <c r="B1" t="s">
        <v>53</v>
      </c>
    </row>
    <row r="2" spans="1:2" x14ac:dyDescent="0.25">
      <c r="A2" t="s">
        <v>49</v>
      </c>
      <c r="B2">
        <v>22</v>
      </c>
    </row>
    <row r="3" spans="1:2" x14ac:dyDescent="0.25">
      <c r="A3" t="s">
        <v>45</v>
      </c>
      <c r="B3">
        <v>16</v>
      </c>
    </row>
    <row r="4" spans="1:2" x14ac:dyDescent="0.25">
      <c r="A4" t="s">
        <v>50</v>
      </c>
      <c r="B4">
        <v>13</v>
      </c>
    </row>
    <row r="5" spans="1:2" x14ac:dyDescent="0.25">
      <c r="A5" t="s">
        <v>46</v>
      </c>
      <c r="B5">
        <v>20</v>
      </c>
    </row>
    <row r="6" spans="1:2" x14ac:dyDescent="0.25">
      <c r="A6" t="s">
        <v>52</v>
      </c>
      <c r="B6">
        <v>31</v>
      </c>
    </row>
    <row r="7" spans="1:2" x14ac:dyDescent="0.25">
      <c r="A7" t="s">
        <v>47</v>
      </c>
      <c r="B7">
        <v>23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8614-9F56-4FDD-A50F-812E3D839D1E}">
  <dimension ref="A1:H126"/>
  <sheetViews>
    <sheetView workbookViewId="0">
      <selection sqref="A1:XFD1048576"/>
    </sheetView>
  </sheetViews>
  <sheetFormatPr defaultRowHeight="15" x14ac:dyDescent="0.25"/>
  <cols>
    <col min="1" max="1" width="11.85546875" bestFit="1" customWidth="1"/>
    <col min="2" max="2" width="11.7109375" bestFit="1" customWidth="1"/>
    <col min="3" max="3" width="19.5703125" bestFit="1" customWidth="1"/>
    <col min="4" max="4" width="18.85546875" bestFit="1" customWidth="1"/>
    <col min="5" max="5" width="16.140625" bestFit="1" customWidth="1"/>
    <col min="6" max="6" width="15.5703125" bestFit="1" customWidth="1"/>
    <col min="7" max="7" width="13.28515625" bestFit="1" customWidth="1"/>
    <col min="8" max="8" width="15.85546875" bestFit="1" customWidth="1"/>
  </cols>
  <sheetData>
    <row r="1" spans="1:8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25">
      <c r="A2">
        <v>89</v>
      </c>
      <c r="B2" t="s">
        <v>44</v>
      </c>
      <c r="C2" s="21">
        <v>44526</v>
      </c>
      <c r="D2" s="21">
        <v>44568</v>
      </c>
      <c r="E2">
        <v>241</v>
      </c>
      <c r="F2">
        <v>1151</v>
      </c>
      <c r="G2" t="s">
        <v>45</v>
      </c>
      <c r="H2">
        <v>1363</v>
      </c>
    </row>
    <row r="3" spans="1:8" x14ac:dyDescent="0.25">
      <c r="A3">
        <v>60</v>
      </c>
      <c r="B3" t="s">
        <v>44</v>
      </c>
      <c r="C3" s="21">
        <v>44500</v>
      </c>
      <c r="D3" s="21">
        <v>44570</v>
      </c>
      <c r="E3">
        <v>502</v>
      </c>
      <c r="F3">
        <v>1486</v>
      </c>
      <c r="G3" t="s">
        <v>46</v>
      </c>
      <c r="H3">
        <v>1319</v>
      </c>
    </row>
    <row r="4" spans="1:8" x14ac:dyDescent="0.25">
      <c r="A4">
        <v>68</v>
      </c>
      <c r="B4" t="s">
        <v>44</v>
      </c>
      <c r="C4" s="21">
        <v>44532</v>
      </c>
      <c r="D4" s="21">
        <v>44571</v>
      </c>
      <c r="E4">
        <v>739</v>
      </c>
      <c r="F4">
        <v>1456</v>
      </c>
      <c r="G4" t="s">
        <v>47</v>
      </c>
      <c r="H4">
        <v>1379</v>
      </c>
    </row>
    <row r="5" spans="1:8" x14ac:dyDescent="0.25">
      <c r="A5">
        <v>80</v>
      </c>
      <c r="B5" t="s">
        <v>48</v>
      </c>
      <c r="C5" s="21">
        <v>44539</v>
      </c>
      <c r="D5" s="21">
        <v>44562</v>
      </c>
      <c r="E5">
        <v>749</v>
      </c>
      <c r="F5">
        <v>1058</v>
      </c>
      <c r="G5" t="s">
        <v>46</v>
      </c>
      <c r="H5">
        <v>1407</v>
      </c>
    </row>
    <row r="6" spans="1:8" x14ac:dyDescent="0.25">
      <c r="A6">
        <v>82</v>
      </c>
      <c r="B6" t="s">
        <v>48</v>
      </c>
      <c r="C6" s="21">
        <v>44509</v>
      </c>
      <c r="D6" s="21">
        <v>44570</v>
      </c>
      <c r="E6">
        <v>377</v>
      </c>
      <c r="F6">
        <v>1147</v>
      </c>
      <c r="G6" t="s">
        <v>49</v>
      </c>
      <c r="H6">
        <v>650</v>
      </c>
    </row>
    <row r="7" spans="1:8" x14ac:dyDescent="0.25">
      <c r="A7">
        <v>68</v>
      </c>
      <c r="B7" t="s">
        <v>48</v>
      </c>
      <c r="C7" s="21">
        <v>44499</v>
      </c>
      <c r="D7" s="21">
        <v>44562</v>
      </c>
      <c r="E7">
        <v>572</v>
      </c>
      <c r="F7">
        <v>1178</v>
      </c>
      <c r="G7" t="s">
        <v>50</v>
      </c>
      <c r="H7">
        <v>1126</v>
      </c>
    </row>
    <row r="8" spans="1:8" x14ac:dyDescent="0.25">
      <c r="A8">
        <v>80</v>
      </c>
      <c r="B8" t="s">
        <v>44</v>
      </c>
      <c r="C8" s="21">
        <v>44513</v>
      </c>
      <c r="D8" s="21">
        <v>44566</v>
      </c>
      <c r="E8">
        <v>740</v>
      </c>
      <c r="F8">
        <v>1059</v>
      </c>
      <c r="G8" t="s">
        <v>50</v>
      </c>
      <c r="H8">
        <v>779</v>
      </c>
    </row>
    <row r="9" spans="1:8" x14ac:dyDescent="0.25">
      <c r="A9">
        <v>65</v>
      </c>
      <c r="B9" t="s">
        <v>48</v>
      </c>
      <c r="C9" s="21">
        <v>44531</v>
      </c>
      <c r="D9" s="21">
        <v>44566</v>
      </c>
      <c r="E9">
        <v>580</v>
      </c>
      <c r="F9">
        <v>1395</v>
      </c>
      <c r="G9" t="s">
        <v>50</v>
      </c>
      <c r="H9">
        <v>715</v>
      </c>
    </row>
    <row r="10" spans="1:8" x14ac:dyDescent="0.25">
      <c r="A10">
        <v>99</v>
      </c>
      <c r="B10" t="s">
        <v>51</v>
      </c>
      <c r="C10" s="21">
        <v>44526</v>
      </c>
      <c r="D10" s="21">
        <v>44569</v>
      </c>
      <c r="E10">
        <v>252</v>
      </c>
      <c r="F10">
        <v>994</v>
      </c>
      <c r="G10" t="s">
        <v>45</v>
      </c>
      <c r="H10">
        <v>753</v>
      </c>
    </row>
    <row r="11" spans="1:8" x14ac:dyDescent="0.25">
      <c r="A11">
        <v>100</v>
      </c>
      <c r="B11" t="s">
        <v>48</v>
      </c>
      <c r="C11" s="21">
        <v>44503</v>
      </c>
      <c r="D11" s="21">
        <v>44563</v>
      </c>
      <c r="E11">
        <v>403</v>
      </c>
      <c r="F11">
        <v>988</v>
      </c>
      <c r="G11" t="s">
        <v>49</v>
      </c>
      <c r="H11">
        <v>924</v>
      </c>
    </row>
    <row r="12" spans="1:8" x14ac:dyDescent="0.25">
      <c r="A12">
        <v>87</v>
      </c>
      <c r="B12" t="s">
        <v>48</v>
      </c>
      <c r="C12" s="21">
        <v>44528</v>
      </c>
      <c r="D12" s="21">
        <v>44567</v>
      </c>
      <c r="E12">
        <v>330</v>
      </c>
      <c r="F12">
        <v>1049</v>
      </c>
      <c r="G12" t="s">
        <v>52</v>
      </c>
      <c r="H12">
        <v>526</v>
      </c>
    </row>
    <row r="13" spans="1:8" x14ac:dyDescent="0.25">
      <c r="A13">
        <v>85</v>
      </c>
      <c r="B13" t="s">
        <v>48</v>
      </c>
      <c r="C13" s="21">
        <v>44506</v>
      </c>
      <c r="D13" s="21">
        <v>44567</v>
      </c>
      <c r="E13">
        <v>588</v>
      </c>
      <c r="F13">
        <v>978</v>
      </c>
      <c r="G13" t="s">
        <v>45</v>
      </c>
      <c r="H13">
        <v>771</v>
      </c>
    </row>
    <row r="14" spans="1:8" x14ac:dyDescent="0.25">
      <c r="A14">
        <v>77</v>
      </c>
      <c r="B14" t="s">
        <v>48</v>
      </c>
      <c r="C14" s="21">
        <v>44528</v>
      </c>
      <c r="D14" s="21">
        <v>44564</v>
      </c>
      <c r="E14">
        <v>519</v>
      </c>
      <c r="F14">
        <v>1464</v>
      </c>
      <c r="G14" t="s">
        <v>52</v>
      </c>
      <c r="H14">
        <v>1278</v>
      </c>
    </row>
    <row r="15" spans="1:8" x14ac:dyDescent="0.25">
      <c r="A15">
        <v>79</v>
      </c>
      <c r="B15" t="s">
        <v>51</v>
      </c>
      <c r="C15" s="21">
        <v>44514</v>
      </c>
      <c r="D15" s="21">
        <v>44565</v>
      </c>
      <c r="E15">
        <v>667</v>
      </c>
      <c r="F15">
        <v>1125</v>
      </c>
      <c r="G15" t="s">
        <v>45</v>
      </c>
      <c r="H15">
        <v>683</v>
      </c>
    </row>
    <row r="16" spans="1:8" x14ac:dyDescent="0.25">
      <c r="A16">
        <v>80</v>
      </c>
      <c r="B16" t="s">
        <v>51</v>
      </c>
      <c r="C16" s="21">
        <v>44520</v>
      </c>
      <c r="D16" s="21">
        <v>44570</v>
      </c>
      <c r="E16">
        <v>635</v>
      </c>
      <c r="F16">
        <v>1470</v>
      </c>
      <c r="G16" t="s">
        <v>47</v>
      </c>
      <c r="H16">
        <v>757</v>
      </c>
    </row>
    <row r="17" spans="1:8" x14ac:dyDescent="0.25">
      <c r="A17">
        <v>74</v>
      </c>
      <c r="B17" t="s">
        <v>51</v>
      </c>
      <c r="C17" s="21">
        <v>44507</v>
      </c>
      <c r="D17" s="21">
        <v>44565</v>
      </c>
      <c r="E17">
        <v>524</v>
      </c>
      <c r="F17">
        <v>1336</v>
      </c>
      <c r="G17" t="s">
        <v>46</v>
      </c>
      <c r="H17">
        <v>1205</v>
      </c>
    </row>
    <row r="18" spans="1:8" x14ac:dyDescent="0.25">
      <c r="A18">
        <v>80</v>
      </c>
      <c r="B18" t="s">
        <v>51</v>
      </c>
      <c r="C18" s="21">
        <v>44522</v>
      </c>
      <c r="D18" s="21">
        <v>44565</v>
      </c>
      <c r="E18">
        <v>250</v>
      </c>
      <c r="F18">
        <v>1277</v>
      </c>
      <c r="G18" t="s">
        <v>52</v>
      </c>
      <c r="H18">
        <v>1183</v>
      </c>
    </row>
    <row r="19" spans="1:8" x14ac:dyDescent="0.25">
      <c r="A19">
        <v>97</v>
      </c>
      <c r="B19" t="s">
        <v>51</v>
      </c>
      <c r="C19" s="21">
        <v>44526</v>
      </c>
      <c r="D19" s="21">
        <v>44571</v>
      </c>
      <c r="E19">
        <v>598</v>
      </c>
      <c r="F19">
        <v>1405</v>
      </c>
      <c r="G19" t="s">
        <v>47</v>
      </c>
      <c r="H19">
        <v>1307</v>
      </c>
    </row>
    <row r="20" spans="1:8" x14ac:dyDescent="0.25">
      <c r="A20">
        <v>95</v>
      </c>
      <c r="B20" t="s">
        <v>51</v>
      </c>
      <c r="C20" s="21">
        <v>44497</v>
      </c>
      <c r="D20" s="21">
        <v>44567</v>
      </c>
      <c r="E20">
        <v>500</v>
      </c>
      <c r="F20">
        <v>859</v>
      </c>
      <c r="G20" t="s">
        <v>49</v>
      </c>
      <c r="H20">
        <v>1306</v>
      </c>
    </row>
    <row r="21" spans="1:8" x14ac:dyDescent="0.25">
      <c r="A21">
        <v>100</v>
      </c>
      <c r="B21" t="s">
        <v>51</v>
      </c>
      <c r="C21" s="21">
        <v>44533</v>
      </c>
      <c r="D21" s="21">
        <v>44561</v>
      </c>
      <c r="E21">
        <v>302</v>
      </c>
      <c r="F21">
        <v>1131</v>
      </c>
      <c r="G21" t="s">
        <v>52</v>
      </c>
      <c r="H21">
        <v>1324</v>
      </c>
    </row>
    <row r="22" spans="1:8" x14ac:dyDescent="0.25">
      <c r="A22">
        <v>83</v>
      </c>
      <c r="B22" t="s">
        <v>44</v>
      </c>
      <c r="C22" s="21">
        <v>44519</v>
      </c>
      <c r="D22" s="21">
        <v>44562</v>
      </c>
      <c r="E22">
        <v>724</v>
      </c>
      <c r="F22">
        <v>918</v>
      </c>
      <c r="G22" t="s">
        <v>47</v>
      </c>
      <c r="H22">
        <v>648</v>
      </c>
    </row>
    <row r="23" spans="1:8" x14ac:dyDescent="0.25">
      <c r="A23">
        <v>66</v>
      </c>
      <c r="B23" t="s">
        <v>44</v>
      </c>
      <c r="C23" s="21">
        <v>44517</v>
      </c>
      <c r="D23" s="21">
        <v>44571</v>
      </c>
      <c r="E23">
        <v>448</v>
      </c>
      <c r="F23">
        <v>1364</v>
      </c>
      <c r="G23" t="s">
        <v>46</v>
      </c>
      <c r="H23">
        <v>834</v>
      </c>
    </row>
    <row r="24" spans="1:8" x14ac:dyDescent="0.25">
      <c r="A24">
        <v>100</v>
      </c>
      <c r="B24" t="s">
        <v>48</v>
      </c>
      <c r="C24" s="21">
        <v>44531</v>
      </c>
      <c r="D24" s="21">
        <v>44561</v>
      </c>
      <c r="E24">
        <v>653</v>
      </c>
      <c r="F24">
        <v>1494</v>
      </c>
      <c r="G24" t="s">
        <v>45</v>
      </c>
      <c r="H24">
        <v>726</v>
      </c>
    </row>
    <row r="25" spans="1:8" x14ac:dyDescent="0.25">
      <c r="A25">
        <v>94</v>
      </c>
      <c r="B25" t="s">
        <v>44</v>
      </c>
      <c r="C25" s="21">
        <v>44493</v>
      </c>
      <c r="D25" s="21">
        <v>44563</v>
      </c>
      <c r="E25">
        <v>400</v>
      </c>
      <c r="F25">
        <v>905</v>
      </c>
      <c r="G25" t="s">
        <v>46</v>
      </c>
      <c r="H25">
        <v>1369</v>
      </c>
    </row>
    <row r="26" spans="1:8" x14ac:dyDescent="0.25">
      <c r="A26">
        <v>70</v>
      </c>
      <c r="B26" t="s">
        <v>48</v>
      </c>
      <c r="C26" s="21">
        <v>44519</v>
      </c>
      <c r="D26" s="21">
        <v>44566</v>
      </c>
      <c r="E26">
        <v>333</v>
      </c>
      <c r="F26">
        <v>1373</v>
      </c>
      <c r="G26" t="s">
        <v>49</v>
      </c>
      <c r="H26">
        <v>614</v>
      </c>
    </row>
    <row r="27" spans="1:8" x14ac:dyDescent="0.25">
      <c r="A27">
        <v>79</v>
      </c>
      <c r="B27" t="s">
        <v>51</v>
      </c>
      <c r="C27" s="21">
        <v>44522</v>
      </c>
      <c r="D27" s="21">
        <v>44567</v>
      </c>
      <c r="E27">
        <v>304</v>
      </c>
      <c r="F27">
        <v>1167</v>
      </c>
      <c r="G27" t="s">
        <v>50</v>
      </c>
      <c r="H27">
        <v>716</v>
      </c>
    </row>
    <row r="28" spans="1:8" x14ac:dyDescent="0.25">
      <c r="A28">
        <v>88</v>
      </c>
      <c r="B28" t="s">
        <v>51</v>
      </c>
      <c r="C28" s="21">
        <v>44517</v>
      </c>
      <c r="D28" s="21">
        <v>44568</v>
      </c>
      <c r="E28">
        <v>473</v>
      </c>
      <c r="F28">
        <v>1121</v>
      </c>
      <c r="G28" t="s">
        <v>47</v>
      </c>
      <c r="H28">
        <v>527</v>
      </c>
    </row>
    <row r="29" spans="1:8" x14ac:dyDescent="0.25">
      <c r="A29">
        <v>81</v>
      </c>
      <c r="B29" t="s">
        <v>48</v>
      </c>
      <c r="C29" s="21">
        <v>44496</v>
      </c>
      <c r="D29" s="21">
        <v>44565</v>
      </c>
      <c r="E29">
        <v>504</v>
      </c>
      <c r="F29">
        <v>1153</v>
      </c>
      <c r="G29" t="s">
        <v>47</v>
      </c>
      <c r="H29">
        <v>1469</v>
      </c>
    </row>
    <row r="30" spans="1:8" x14ac:dyDescent="0.25">
      <c r="A30">
        <v>96</v>
      </c>
      <c r="B30" t="s">
        <v>51</v>
      </c>
      <c r="C30" s="21">
        <v>44516</v>
      </c>
      <c r="D30" s="21">
        <v>44561</v>
      </c>
      <c r="E30">
        <v>321</v>
      </c>
      <c r="F30">
        <v>1368</v>
      </c>
      <c r="G30" t="s">
        <v>50</v>
      </c>
      <c r="H30">
        <v>983</v>
      </c>
    </row>
    <row r="31" spans="1:8" x14ac:dyDescent="0.25">
      <c r="A31">
        <v>66</v>
      </c>
      <c r="B31" t="s">
        <v>48</v>
      </c>
      <c r="C31" s="21">
        <v>44535</v>
      </c>
      <c r="D31" s="21">
        <v>44567</v>
      </c>
      <c r="E31">
        <v>361</v>
      </c>
      <c r="F31">
        <v>1014</v>
      </c>
      <c r="G31" t="s">
        <v>52</v>
      </c>
      <c r="H31">
        <v>1009</v>
      </c>
    </row>
    <row r="32" spans="1:8" x14ac:dyDescent="0.25">
      <c r="A32">
        <v>97</v>
      </c>
      <c r="B32" t="s">
        <v>48</v>
      </c>
      <c r="C32" s="21">
        <v>44536</v>
      </c>
      <c r="D32" s="21">
        <v>44563</v>
      </c>
      <c r="E32">
        <v>381</v>
      </c>
      <c r="F32">
        <v>1045</v>
      </c>
      <c r="G32" t="s">
        <v>46</v>
      </c>
      <c r="H32">
        <v>970</v>
      </c>
    </row>
    <row r="33" spans="1:8" x14ac:dyDescent="0.25">
      <c r="A33">
        <v>77</v>
      </c>
      <c r="B33" t="s">
        <v>48</v>
      </c>
      <c r="C33" s="21">
        <v>44512</v>
      </c>
      <c r="D33" s="21">
        <v>44568</v>
      </c>
      <c r="E33">
        <v>252</v>
      </c>
      <c r="F33">
        <v>990</v>
      </c>
      <c r="G33" t="s">
        <v>50</v>
      </c>
      <c r="H33">
        <v>895</v>
      </c>
    </row>
    <row r="34" spans="1:8" x14ac:dyDescent="0.25">
      <c r="A34">
        <v>95</v>
      </c>
      <c r="B34" t="s">
        <v>48</v>
      </c>
      <c r="C34" s="21">
        <v>44500</v>
      </c>
      <c r="D34" s="21">
        <v>44561</v>
      </c>
      <c r="E34">
        <v>416</v>
      </c>
      <c r="F34">
        <v>1374</v>
      </c>
      <c r="G34" t="s">
        <v>52</v>
      </c>
      <c r="H34">
        <v>881</v>
      </c>
    </row>
    <row r="35" spans="1:8" x14ac:dyDescent="0.25">
      <c r="A35">
        <v>100</v>
      </c>
      <c r="B35" t="s">
        <v>44</v>
      </c>
      <c r="C35" s="21">
        <v>44522</v>
      </c>
      <c r="D35" s="21">
        <v>44564</v>
      </c>
      <c r="E35">
        <v>209</v>
      </c>
      <c r="F35">
        <v>1334</v>
      </c>
      <c r="G35" t="s">
        <v>52</v>
      </c>
      <c r="H35">
        <v>1494</v>
      </c>
    </row>
    <row r="36" spans="1:8" x14ac:dyDescent="0.25">
      <c r="A36">
        <v>100</v>
      </c>
      <c r="B36" t="s">
        <v>44</v>
      </c>
      <c r="C36" s="21">
        <v>44512</v>
      </c>
      <c r="D36" s="21">
        <v>44561</v>
      </c>
      <c r="E36">
        <v>396</v>
      </c>
      <c r="F36">
        <v>1307</v>
      </c>
      <c r="G36" t="s">
        <v>46</v>
      </c>
      <c r="H36">
        <v>664</v>
      </c>
    </row>
    <row r="37" spans="1:8" x14ac:dyDescent="0.25">
      <c r="A37">
        <v>61</v>
      </c>
      <c r="B37" t="s">
        <v>51</v>
      </c>
      <c r="C37" s="21">
        <v>44524</v>
      </c>
      <c r="D37" s="21">
        <v>44567</v>
      </c>
      <c r="E37">
        <v>419</v>
      </c>
      <c r="F37">
        <v>1216</v>
      </c>
      <c r="G37" t="s">
        <v>52</v>
      </c>
      <c r="H37">
        <v>1311</v>
      </c>
    </row>
    <row r="38" spans="1:8" x14ac:dyDescent="0.25">
      <c r="A38">
        <v>73</v>
      </c>
      <c r="B38" t="s">
        <v>51</v>
      </c>
      <c r="C38" s="21">
        <v>44523</v>
      </c>
      <c r="D38" s="21">
        <v>44570</v>
      </c>
      <c r="E38">
        <v>485</v>
      </c>
      <c r="F38">
        <v>1384</v>
      </c>
      <c r="G38" t="s">
        <v>47</v>
      </c>
      <c r="H38">
        <v>592</v>
      </c>
    </row>
    <row r="39" spans="1:8" x14ac:dyDescent="0.25">
      <c r="A39">
        <v>100</v>
      </c>
      <c r="B39" t="s">
        <v>44</v>
      </c>
      <c r="C39" s="21">
        <v>44510</v>
      </c>
      <c r="D39" s="21">
        <v>44564</v>
      </c>
      <c r="E39">
        <v>389</v>
      </c>
      <c r="F39">
        <v>1076</v>
      </c>
      <c r="G39" t="s">
        <v>52</v>
      </c>
      <c r="H39">
        <v>1168</v>
      </c>
    </row>
    <row r="40" spans="1:8" x14ac:dyDescent="0.25">
      <c r="A40">
        <v>97</v>
      </c>
      <c r="B40" t="s">
        <v>44</v>
      </c>
      <c r="C40" s="21">
        <v>44520</v>
      </c>
      <c r="D40" s="21">
        <v>44566</v>
      </c>
      <c r="E40">
        <v>748</v>
      </c>
      <c r="F40">
        <v>1384</v>
      </c>
      <c r="G40" t="s">
        <v>47</v>
      </c>
      <c r="H40">
        <v>1007</v>
      </c>
    </row>
    <row r="41" spans="1:8" x14ac:dyDescent="0.25">
      <c r="A41">
        <v>77</v>
      </c>
      <c r="B41" t="s">
        <v>44</v>
      </c>
      <c r="C41" s="21">
        <v>44526</v>
      </c>
      <c r="D41" s="21">
        <v>44566</v>
      </c>
      <c r="E41">
        <v>517</v>
      </c>
      <c r="F41">
        <v>994</v>
      </c>
      <c r="G41" t="s">
        <v>52</v>
      </c>
      <c r="H41">
        <v>812</v>
      </c>
    </row>
    <row r="42" spans="1:8" x14ac:dyDescent="0.25">
      <c r="A42">
        <v>83</v>
      </c>
      <c r="B42" t="s">
        <v>48</v>
      </c>
      <c r="C42" s="21">
        <v>44497</v>
      </c>
      <c r="D42" s="21">
        <v>44562</v>
      </c>
      <c r="E42">
        <v>262</v>
      </c>
      <c r="F42">
        <v>1378</v>
      </c>
      <c r="G42" t="s">
        <v>49</v>
      </c>
      <c r="H42">
        <v>1091</v>
      </c>
    </row>
    <row r="43" spans="1:8" x14ac:dyDescent="0.25">
      <c r="A43">
        <v>95</v>
      </c>
      <c r="B43" t="s">
        <v>48</v>
      </c>
      <c r="C43" s="21">
        <v>44529</v>
      </c>
      <c r="D43" s="21">
        <v>44566</v>
      </c>
      <c r="E43">
        <v>358</v>
      </c>
      <c r="F43">
        <v>1220</v>
      </c>
      <c r="G43" t="s">
        <v>50</v>
      </c>
      <c r="H43">
        <v>620</v>
      </c>
    </row>
    <row r="44" spans="1:8" x14ac:dyDescent="0.25">
      <c r="A44">
        <v>76</v>
      </c>
      <c r="B44" t="s">
        <v>48</v>
      </c>
      <c r="C44" s="21">
        <v>44501</v>
      </c>
      <c r="D44" s="21">
        <v>44571</v>
      </c>
      <c r="E44">
        <v>428</v>
      </c>
      <c r="F44">
        <v>1101</v>
      </c>
      <c r="G44" t="s">
        <v>47</v>
      </c>
      <c r="H44">
        <v>1455</v>
      </c>
    </row>
    <row r="45" spans="1:8" x14ac:dyDescent="0.25">
      <c r="A45">
        <v>87</v>
      </c>
      <c r="B45" t="s">
        <v>44</v>
      </c>
      <c r="C45" s="21">
        <v>44484</v>
      </c>
      <c r="D45" s="21">
        <v>44566</v>
      </c>
      <c r="E45">
        <v>383</v>
      </c>
      <c r="F45">
        <v>1013</v>
      </c>
      <c r="G45" t="s">
        <v>52</v>
      </c>
      <c r="H45">
        <v>652</v>
      </c>
    </row>
    <row r="46" spans="1:8" x14ac:dyDescent="0.25">
      <c r="A46">
        <v>67</v>
      </c>
      <c r="B46" t="s">
        <v>44</v>
      </c>
      <c r="C46" s="21">
        <v>44537</v>
      </c>
      <c r="D46" s="21">
        <v>44568</v>
      </c>
      <c r="E46">
        <v>372</v>
      </c>
      <c r="F46">
        <v>1257</v>
      </c>
      <c r="G46" t="s">
        <v>46</v>
      </c>
      <c r="H46">
        <v>688</v>
      </c>
    </row>
    <row r="47" spans="1:8" x14ac:dyDescent="0.25">
      <c r="A47">
        <v>60</v>
      </c>
      <c r="B47" t="s">
        <v>44</v>
      </c>
      <c r="C47" s="21">
        <v>44524</v>
      </c>
      <c r="D47" s="21">
        <v>44563</v>
      </c>
      <c r="E47">
        <v>305</v>
      </c>
      <c r="F47">
        <v>1420</v>
      </c>
      <c r="G47" t="s">
        <v>49</v>
      </c>
      <c r="H47">
        <v>1432</v>
      </c>
    </row>
    <row r="48" spans="1:8" x14ac:dyDescent="0.25">
      <c r="A48">
        <v>74</v>
      </c>
      <c r="B48" t="s">
        <v>51</v>
      </c>
      <c r="C48" s="21">
        <v>44532</v>
      </c>
      <c r="D48" s="21">
        <v>44563</v>
      </c>
      <c r="E48">
        <v>261</v>
      </c>
      <c r="F48">
        <v>1358</v>
      </c>
      <c r="G48" t="s">
        <v>52</v>
      </c>
      <c r="H48">
        <v>551</v>
      </c>
    </row>
    <row r="49" spans="1:8" x14ac:dyDescent="0.25">
      <c r="A49">
        <v>76</v>
      </c>
      <c r="B49" t="s">
        <v>44</v>
      </c>
      <c r="C49" s="21">
        <v>44530</v>
      </c>
      <c r="D49" s="21">
        <v>44571</v>
      </c>
      <c r="E49">
        <v>412</v>
      </c>
      <c r="F49">
        <v>1077</v>
      </c>
      <c r="G49" t="s">
        <v>49</v>
      </c>
      <c r="H49">
        <v>688</v>
      </c>
    </row>
    <row r="50" spans="1:8" x14ac:dyDescent="0.25">
      <c r="A50">
        <v>98</v>
      </c>
      <c r="B50" t="s">
        <v>48</v>
      </c>
      <c r="C50" s="21">
        <v>44510</v>
      </c>
      <c r="D50" s="21">
        <v>44563</v>
      </c>
      <c r="E50">
        <v>717</v>
      </c>
      <c r="F50">
        <v>1366</v>
      </c>
      <c r="G50" t="s">
        <v>52</v>
      </c>
      <c r="H50">
        <v>808</v>
      </c>
    </row>
    <row r="51" spans="1:8" x14ac:dyDescent="0.25">
      <c r="A51">
        <v>98</v>
      </c>
      <c r="B51" t="s">
        <v>48</v>
      </c>
      <c r="C51" s="21">
        <v>44489</v>
      </c>
      <c r="D51" s="21">
        <v>44568</v>
      </c>
      <c r="E51">
        <v>440</v>
      </c>
      <c r="F51">
        <v>1300</v>
      </c>
      <c r="G51" t="s">
        <v>50</v>
      </c>
      <c r="H51">
        <v>909</v>
      </c>
    </row>
    <row r="52" spans="1:8" x14ac:dyDescent="0.25">
      <c r="A52">
        <v>69</v>
      </c>
      <c r="B52" t="s">
        <v>48</v>
      </c>
      <c r="C52" s="21">
        <v>44532</v>
      </c>
      <c r="D52" s="21">
        <v>44571</v>
      </c>
      <c r="E52">
        <v>577</v>
      </c>
      <c r="F52">
        <v>939</v>
      </c>
      <c r="G52" t="s">
        <v>47</v>
      </c>
      <c r="H52">
        <v>1364</v>
      </c>
    </row>
    <row r="53" spans="1:8" x14ac:dyDescent="0.25">
      <c r="A53">
        <v>98</v>
      </c>
      <c r="B53" t="s">
        <v>48</v>
      </c>
      <c r="C53" s="21">
        <v>44498</v>
      </c>
      <c r="D53" s="21">
        <v>44562</v>
      </c>
      <c r="E53">
        <v>216</v>
      </c>
      <c r="F53">
        <v>1432</v>
      </c>
      <c r="G53" t="s">
        <v>46</v>
      </c>
      <c r="H53">
        <v>846</v>
      </c>
    </row>
    <row r="54" spans="1:8" x14ac:dyDescent="0.25">
      <c r="A54">
        <v>96</v>
      </c>
      <c r="B54" t="s">
        <v>48</v>
      </c>
      <c r="C54" s="21">
        <v>44508</v>
      </c>
      <c r="D54" s="21">
        <v>44566</v>
      </c>
      <c r="E54">
        <v>313</v>
      </c>
      <c r="F54">
        <v>800</v>
      </c>
      <c r="G54" t="s">
        <v>45</v>
      </c>
      <c r="H54">
        <v>1340</v>
      </c>
    </row>
    <row r="55" spans="1:8" x14ac:dyDescent="0.25">
      <c r="A55">
        <v>62</v>
      </c>
      <c r="B55" t="s">
        <v>48</v>
      </c>
      <c r="C55" s="21">
        <v>44522</v>
      </c>
      <c r="D55" s="21">
        <v>44563</v>
      </c>
      <c r="E55">
        <v>410</v>
      </c>
      <c r="F55">
        <v>1190</v>
      </c>
      <c r="G55" t="s">
        <v>46</v>
      </c>
      <c r="H55">
        <v>1114</v>
      </c>
    </row>
    <row r="56" spans="1:8" x14ac:dyDescent="0.25">
      <c r="A56">
        <v>93</v>
      </c>
      <c r="B56" t="s">
        <v>48</v>
      </c>
      <c r="C56" s="21">
        <v>44524</v>
      </c>
      <c r="D56" s="21">
        <v>44563</v>
      </c>
      <c r="E56">
        <v>402</v>
      </c>
      <c r="F56">
        <v>1275</v>
      </c>
      <c r="G56" t="s">
        <v>46</v>
      </c>
      <c r="H56">
        <v>1407</v>
      </c>
    </row>
    <row r="57" spans="1:8" x14ac:dyDescent="0.25">
      <c r="A57">
        <v>81</v>
      </c>
      <c r="B57" t="s">
        <v>48</v>
      </c>
      <c r="C57" s="21">
        <v>44529</v>
      </c>
      <c r="D57" s="21">
        <v>44566</v>
      </c>
      <c r="E57">
        <v>650</v>
      </c>
      <c r="F57">
        <v>1156</v>
      </c>
      <c r="G57" t="s">
        <v>52</v>
      </c>
      <c r="H57">
        <v>881</v>
      </c>
    </row>
    <row r="58" spans="1:8" x14ac:dyDescent="0.25">
      <c r="A58">
        <v>89</v>
      </c>
      <c r="B58" t="s">
        <v>48</v>
      </c>
      <c r="C58" s="21">
        <v>44502</v>
      </c>
      <c r="D58" s="21">
        <v>44561</v>
      </c>
      <c r="E58">
        <v>419</v>
      </c>
      <c r="F58">
        <v>1411</v>
      </c>
      <c r="G58" t="s">
        <v>49</v>
      </c>
      <c r="H58">
        <v>801</v>
      </c>
    </row>
    <row r="59" spans="1:8" x14ac:dyDescent="0.25">
      <c r="A59">
        <v>63</v>
      </c>
      <c r="B59" t="s">
        <v>51</v>
      </c>
      <c r="C59" s="21">
        <v>44529</v>
      </c>
      <c r="D59" s="21">
        <v>44565</v>
      </c>
      <c r="E59">
        <v>572</v>
      </c>
      <c r="F59">
        <v>989</v>
      </c>
      <c r="G59" t="s">
        <v>46</v>
      </c>
      <c r="H59">
        <v>891</v>
      </c>
    </row>
    <row r="60" spans="1:8" x14ac:dyDescent="0.25">
      <c r="A60">
        <v>77</v>
      </c>
      <c r="B60" t="s">
        <v>44</v>
      </c>
      <c r="C60" s="21">
        <v>44489</v>
      </c>
      <c r="D60" s="21">
        <v>44561</v>
      </c>
      <c r="E60">
        <v>261</v>
      </c>
      <c r="F60">
        <v>1409</v>
      </c>
      <c r="G60" t="s">
        <v>52</v>
      </c>
      <c r="H60">
        <v>1105</v>
      </c>
    </row>
    <row r="61" spans="1:8" x14ac:dyDescent="0.25">
      <c r="A61">
        <v>85</v>
      </c>
      <c r="B61" t="s">
        <v>51</v>
      </c>
      <c r="C61" s="21">
        <v>44515</v>
      </c>
      <c r="D61" s="21">
        <v>44564</v>
      </c>
      <c r="E61">
        <v>643</v>
      </c>
      <c r="F61">
        <v>839</v>
      </c>
      <c r="G61" t="s">
        <v>52</v>
      </c>
      <c r="H61">
        <v>1462</v>
      </c>
    </row>
    <row r="62" spans="1:8" x14ac:dyDescent="0.25">
      <c r="A62">
        <v>78</v>
      </c>
      <c r="B62" t="s">
        <v>44</v>
      </c>
      <c r="C62" s="21">
        <v>44530</v>
      </c>
      <c r="D62" s="21">
        <v>44568</v>
      </c>
      <c r="E62">
        <v>564</v>
      </c>
      <c r="F62">
        <v>1088</v>
      </c>
      <c r="G62" t="s">
        <v>49</v>
      </c>
      <c r="H62">
        <v>1467</v>
      </c>
    </row>
    <row r="63" spans="1:8" x14ac:dyDescent="0.25">
      <c r="A63">
        <v>88</v>
      </c>
      <c r="B63" t="s">
        <v>48</v>
      </c>
      <c r="C63" s="21">
        <v>44501</v>
      </c>
      <c r="D63" s="21">
        <v>44564</v>
      </c>
      <c r="E63">
        <v>200</v>
      </c>
      <c r="F63">
        <v>1043</v>
      </c>
      <c r="G63" t="s">
        <v>46</v>
      </c>
      <c r="H63">
        <v>1046</v>
      </c>
    </row>
    <row r="64" spans="1:8" x14ac:dyDescent="0.25">
      <c r="A64">
        <v>96</v>
      </c>
      <c r="B64" t="s">
        <v>48</v>
      </c>
      <c r="C64" s="21">
        <v>44484</v>
      </c>
      <c r="D64" s="21">
        <v>44571</v>
      </c>
      <c r="E64">
        <v>264</v>
      </c>
      <c r="F64">
        <v>832</v>
      </c>
      <c r="G64" t="s">
        <v>52</v>
      </c>
      <c r="H64">
        <v>1038</v>
      </c>
    </row>
    <row r="65" spans="1:8" x14ac:dyDescent="0.25">
      <c r="A65">
        <v>92</v>
      </c>
      <c r="B65" t="s">
        <v>44</v>
      </c>
      <c r="C65" s="21">
        <v>44492</v>
      </c>
      <c r="D65" s="21">
        <v>44561</v>
      </c>
      <c r="E65">
        <v>602</v>
      </c>
      <c r="F65">
        <v>1351</v>
      </c>
      <c r="G65" t="s">
        <v>50</v>
      </c>
      <c r="H65">
        <v>1121</v>
      </c>
    </row>
    <row r="66" spans="1:8" x14ac:dyDescent="0.25">
      <c r="A66">
        <v>80</v>
      </c>
      <c r="B66" t="s">
        <v>44</v>
      </c>
      <c r="C66" s="21">
        <v>44495</v>
      </c>
      <c r="D66" s="21">
        <v>44565</v>
      </c>
      <c r="E66">
        <v>434</v>
      </c>
      <c r="F66">
        <v>1333</v>
      </c>
      <c r="G66" t="s">
        <v>52</v>
      </c>
      <c r="H66">
        <v>1462</v>
      </c>
    </row>
    <row r="67" spans="1:8" x14ac:dyDescent="0.25">
      <c r="A67">
        <v>57</v>
      </c>
      <c r="B67" t="s">
        <v>44</v>
      </c>
      <c r="C67" s="21">
        <v>44509</v>
      </c>
      <c r="D67" s="21">
        <v>44568</v>
      </c>
      <c r="E67">
        <v>750</v>
      </c>
      <c r="F67">
        <v>816</v>
      </c>
      <c r="G67" t="s">
        <v>46</v>
      </c>
      <c r="H67">
        <v>1256</v>
      </c>
    </row>
    <row r="68" spans="1:8" x14ac:dyDescent="0.25">
      <c r="A68">
        <v>92</v>
      </c>
      <c r="B68" t="s">
        <v>44</v>
      </c>
      <c r="C68" s="21">
        <v>44503</v>
      </c>
      <c r="D68" s="21">
        <v>44563</v>
      </c>
      <c r="E68">
        <v>689</v>
      </c>
      <c r="F68">
        <v>946</v>
      </c>
      <c r="G68" t="s">
        <v>52</v>
      </c>
      <c r="H68">
        <v>569</v>
      </c>
    </row>
    <row r="69" spans="1:8" x14ac:dyDescent="0.25">
      <c r="A69">
        <v>83</v>
      </c>
      <c r="B69" t="s">
        <v>44</v>
      </c>
      <c r="C69" s="21">
        <v>44510</v>
      </c>
      <c r="D69" s="21">
        <v>44569</v>
      </c>
      <c r="E69">
        <v>562</v>
      </c>
      <c r="F69">
        <v>856</v>
      </c>
      <c r="G69" t="s">
        <v>46</v>
      </c>
      <c r="H69">
        <v>1129</v>
      </c>
    </row>
    <row r="70" spans="1:8" x14ac:dyDescent="0.25">
      <c r="A70">
        <v>66</v>
      </c>
      <c r="B70" t="s">
        <v>48</v>
      </c>
      <c r="C70" s="21">
        <v>44490</v>
      </c>
      <c r="D70" s="21">
        <v>44561</v>
      </c>
      <c r="E70">
        <v>603</v>
      </c>
      <c r="F70">
        <v>1421</v>
      </c>
      <c r="G70" t="s">
        <v>49</v>
      </c>
      <c r="H70">
        <v>741</v>
      </c>
    </row>
    <row r="71" spans="1:8" x14ac:dyDescent="0.25">
      <c r="A71">
        <v>74</v>
      </c>
      <c r="B71" t="s">
        <v>44</v>
      </c>
      <c r="C71" s="21">
        <v>44514</v>
      </c>
      <c r="D71" s="21">
        <v>44563</v>
      </c>
      <c r="E71">
        <v>235</v>
      </c>
      <c r="F71">
        <v>1153</v>
      </c>
      <c r="G71" t="s">
        <v>49</v>
      </c>
      <c r="H71">
        <v>1490</v>
      </c>
    </row>
    <row r="72" spans="1:8" x14ac:dyDescent="0.25">
      <c r="A72">
        <v>75</v>
      </c>
      <c r="B72" t="s">
        <v>48</v>
      </c>
      <c r="C72" s="21">
        <v>44485</v>
      </c>
      <c r="D72" s="21">
        <v>44570</v>
      </c>
      <c r="E72">
        <v>365</v>
      </c>
      <c r="F72">
        <v>1441</v>
      </c>
      <c r="G72" t="s">
        <v>52</v>
      </c>
      <c r="H72">
        <v>1032</v>
      </c>
    </row>
    <row r="73" spans="1:8" x14ac:dyDescent="0.25">
      <c r="A73">
        <v>100</v>
      </c>
      <c r="B73" t="s">
        <v>44</v>
      </c>
      <c r="C73" s="21">
        <v>44496</v>
      </c>
      <c r="D73" s="21">
        <v>44561</v>
      </c>
      <c r="E73">
        <v>203</v>
      </c>
      <c r="F73">
        <v>950</v>
      </c>
      <c r="G73" t="s">
        <v>47</v>
      </c>
      <c r="H73">
        <v>851</v>
      </c>
    </row>
    <row r="74" spans="1:8" x14ac:dyDescent="0.25">
      <c r="A74">
        <v>56</v>
      </c>
      <c r="B74" t="s">
        <v>48</v>
      </c>
      <c r="C74" s="21">
        <v>44530</v>
      </c>
      <c r="D74" s="21">
        <v>44561</v>
      </c>
      <c r="E74">
        <v>349</v>
      </c>
      <c r="F74">
        <v>802</v>
      </c>
      <c r="G74" t="s">
        <v>52</v>
      </c>
      <c r="H74">
        <v>1061</v>
      </c>
    </row>
    <row r="75" spans="1:8" x14ac:dyDescent="0.25">
      <c r="A75">
        <v>97</v>
      </c>
      <c r="B75" t="s">
        <v>51</v>
      </c>
      <c r="C75" s="21">
        <v>44489</v>
      </c>
      <c r="D75" s="21">
        <v>44563</v>
      </c>
      <c r="E75">
        <v>503</v>
      </c>
      <c r="F75">
        <v>1070</v>
      </c>
      <c r="G75" t="s">
        <v>47</v>
      </c>
      <c r="H75">
        <v>1315</v>
      </c>
    </row>
    <row r="76" spans="1:8" x14ac:dyDescent="0.25">
      <c r="A76">
        <v>84</v>
      </c>
      <c r="B76" t="s">
        <v>44</v>
      </c>
      <c r="C76" s="21">
        <v>44538</v>
      </c>
      <c r="D76" s="21">
        <v>44564</v>
      </c>
      <c r="E76">
        <v>246</v>
      </c>
      <c r="F76">
        <v>1121</v>
      </c>
      <c r="G76" t="s">
        <v>49</v>
      </c>
      <c r="H76">
        <v>1018</v>
      </c>
    </row>
    <row r="77" spans="1:8" x14ac:dyDescent="0.25">
      <c r="A77">
        <v>82</v>
      </c>
      <c r="B77" t="s">
        <v>48</v>
      </c>
      <c r="C77" s="21">
        <v>44527</v>
      </c>
      <c r="D77" s="21">
        <v>44564</v>
      </c>
      <c r="E77">
        <v>408</v>
      </c>
      <c r="F77">
        <v>888</v>
      </c>
      <c r="G77" t="s">
        <v>45</v>
      </c>
      <c r="H77">
        <v>823</v>
      </c>
    </row>
    <row r="78" spans="1:8" x14ac:dyDescent="0.25">
      <c r="A78">
        <v>71</v>
      </c>
      <c r="B78" t="s">
        <v>51</v>
      </c>
      <c r="C78" s="21">
        <v>44484</v>
      </c>
      <c r="D78" s="21">
        <v>44568</v>
      </c>
      <c r="E78">
        <v>271</v>
      </c>
      <c r="F78">
        <v>961</v>
      </c>
      <c r="G78" t="s">
        <v>47</v>
      </c>
      <c r="H78">
        <v>1091</v>
      </c>
    </row>
    <row r="79" spans="1:8" x14ac:dyDescent="0.25">
      <c r="A79">
        <v>81</v>
      </c>
      <c r="B79" t="s">
        <v>51</v>
      </c>
      <c r="C79" s="21">
        <v>44489</v>
      </c>
      <c r="D79" s="21">
        <v>44569</v>
      </c>
      <c r="E79">
        <v>713</v>
      </c>
      <c r="F79">
        <v>989</v>
      </c>
      <c r="G79" t="s">
        <v>49</v>
      </c>
      <c r="H79">
        <v>816</v>
      </c>
    </row>
    <row r="80" spans="1:8" x14ac:dyDescent="0.25">
      <c r="A80">
        <v>72</v>
      </c>
      <c r="B80" t="s">
        <v>51</v>
      </c>
      <c r="C80" s="21">
        <v>44507</v>
      </c>
      <c r="D80" s="21">
        <v>44562</v>
      </c>
      <c r="E80">
        <v>561</v>
      </c>
      <c r="F80">
        <v>1116</v>
      </c>
      <c r="G80" t="s">
        <v>46</v>
      </c>
      <c r="H80">
        <v>647</v>
      </c>
    </row>
    <row r="81" spans="1:8" x14ac:dyDescent="0.25">
      <c r="A81">
        <v>69</v>
      </c>
      <c r="B81" t="s">
        <v>51</v>
      </c>
      <c r="C81" s="21">
        <v>44508</v>
      </c>
      <c r="D81" s="21">
        <v>44567</v>
      </c>
      <c r="E81">
        <v>229</v>
      </c>
      <c r="F81">
        <v>1219</v>
      </c>
      <c r="G81" t="s">
        <v>45</v>
      </c>
      <c r="H81">
        <v>1405</v>
      </c>
    </row>
    <row r="82" spans="1:8" x14ac:dyDescent="0.25">
      <c r="A82">
        <v>62</v>
      </c>
      <c r="B82" t="s">
        <v>51</v>
      </c>
      <c r="C82" s="21">
        <v>44532</v>
      </c>
      <c r="D82" s="21">
        <v>44562</v>
      </c>
      <c r="E82">
        <v>320</v>
      </c>
      <c r="F82">
        <v>941</v>
      </c>
      <c r="G82" t="s">
        <v>47</v>
      </c>
      <c r="H82">
        <v>915</v>
      </c>
    </row>
    <row r="83" spans="1:8" x14ac:dyDescent="0.25">
      <c r="A83">
        <v>80</v>
      </c>
      <c r="B83" t="s">
        <v>51</v>
      </c>
      <c r="C83" s="21">
        <v>44532</v>
      </c>
      <c r="D83" s="21">
        <v>44569</v>
      </c>
      <c r="E83">
        <v>534</v>
      </c>
      <c r="F83">
        <v>1498</v>
      </c>
      <c r="G83" t="s">
        <v>45</v>
      </c>
      <c r="H83">
        <v>1088</v>
      </c>
    </row>
    <row r="84" spans="1:8" x14ac:dyDescent="0.25">
      <c r="A84">
        <v>81</v>
      </c>
      <c r="B84" t="s">
        <v>44</v>
      </c>
      <c r="C84" s="21">
        <v>44523</v>
      </c>
      <c r="D84" s="21">
        <v>44561</v>
      </c>
      <c r="E84">
        <v>245</v>
      </c>
      <c r="F84">
        <v>1073</v>
      </c>
      <c r="G84" t="s">
        <v>52</v>
      </c>
      <c r="H84">
        <v>1227</v>
      </c>
    </row>
    <row r="85" spans="1:8" x14ac:dyDescent="0.25">
      <c r="A85">
        <v>90</v>
      </c>
      <c r="B85" t="s">
        <v>48</v>
      </c>
      <c r="C85" s="21">
        <v>44502</v>
      </c>
      <c r="D85" s="21">
        <v>44567</v>
      </c>
      <c r="E85">
        <v>332</v>
      </c>
      <c r="F85">
        <v>1185</v>
      </c>
      <c r="G85" t="s">
        <v>46</v>
      </c>
      <c r="H85">
        <v>1134</v>
      </c>
    </row>
    <row r="86" spans="1:8" x14ac:dyDescent="0.25">
      <c r="A86">
        <v>87</v>
      </c>
      <c r="B86" t="s">
        <v>48</v>
      </c>
      <c r="C86" s="21">
        <v>44485</v>
      </c>
      <c r="D86" s="21">
        <v>44569</v>
      </c>
      <c r="E86">
        <v>223</v>
      </c>
      <c r="F86">
        <v>1025</v>
      </c>
      <c r="G86" t="s">
        <v>52</v>
      </c>
      <c r="H86">
        <v>1143</v>
      </c>
    </row>
    <row r="87" spans="1:8" x14ac:dyDescent="0.25">
      <c r="A87">
        <v>80</v>
      </c>
      <c r="B87" t="s">
        <v>51</v>
      </c>
      <c r="C87" s="21">
        <v>44502</v>
      </c>
      <c r="D87" s="21">
        <v>44570</v>
      </c>
      <c r="E87">
        <v>330</v>
      </c>
      <c r="F87">
        <v>874</v>
      </c>
      <c r="G87" t="s">
        <v>52</v>
      </c>
      <c r="H87">
        <v>638</v>
      </c>
    </row>
    <row r="88" spans="1:8" x14ac:dyDescent="0.25">
      <c r="A88">
        <v>94</v>
      </c>
      <c r="B88" t="s">
        <v>51</v>
      </c>
      <c r="C88" s="21">
        <v>44521</v>
      </c>
      <c r="D88" s="21">
        <v>44567</v>
      </c>
      <c r="E88">
        <v>402</v>
      </c>
      <c r="F88">
        <v>1045</v>
      </c>
      <c r="G88" t="s">
        <v>47</v>
      </c>
      <c r="H88">
        <v>845</v>
      </c>
    </row>
    <row r="89" spans="1:8" x14ac:dyDescent="0.25">
      <c r="A89">
        <v>69</v>
      </c>
      <c r="B89" t="s">
        <v>44</v>
      </c>
      <c r="C89" s="21">
        <v>44514</v>
      </c>
      <c r="D89" s="21">
        <v>44567</v>
      </c>
      <c r="E89">
        <v>304</v>
      </c>
      <c r="F89">
        <v>1351</v>
      </c>
      <c r="G89" t="s">
        <v>45</v>
      </c>
      <c r="H89">
        <v>873</v>
      </c>
    </row>
    <row r="90" spans="1:8" x14ac:dyDescent="0.25">
      <c r="A90">
        <v>69</v>
      </c>
      <c r="B90" t="s">
        <v>51</v>
      </c>
      <c r="C90" s="21">
        <v>44517</v>
      </c>
      <c r="D90" s="21">
        <v>44568</v>
      </c>
      <c r="E90">
        <v>660</v>
      </c>
      <c r="F90">
        <v>1375</v>
      </c>
      <c r="G90" t="s">
        <v>47</v>
      </c>
      <c r="H90">
        <v>1122</v>
      </c>
    </row>
    <row r="91" spans="1:8" x14ac:dyDescent="0.25">
      <c r="A91">
        <v>80</v>
      </c>
      <c r="B91" t="s">
        <v>44</v>
      </c>
      <c r="C91" s="21">
        <v>44522</v>
      </c>
      <c r="D91" s="21">
        <v>44561</v>
      </c>
      <c r="E91">
        <v>571</v>
      </c>
      <c r="F91">
        <v>986</v>
      </c>
      <c r="G91" t="s">
        <v>45</v>
      </c>
      <c r="H91">
        <v>1142</v>
      </c>
    </row>
    <row r="92" spans="1:8" x14ac:dyDescent="0.25">
      <c r="A92">
        <v>97</v>
      </c>
      <c r="B92" t="s">
        <v>48</v>
      </c>
      <c r="C92" s="21">
        <v>44504</v>
      </c>
      <c r="D92" s="21">
        <v>44566</v>
      </c>
      <c r="E92">
        <v>659</v>
      </c>
      <c r="F92">
        <v>906</v>
      </c>
      <c r="G92" t="s">
        <v>46</v>
      </c>
      <c r="H92">
        <v>605</v>
      </c>
    </row>
    <row r="93" spans="1:8" x14ac:dyDescent="0.25">
      <c r="A93">
        <v>95</v>
      </c>
      <c r="B93" t="s">
        <v>51</v>
      </c>
      <c r="C93" s="21">
        <v>44506</v>
      </c>
      <c r="D93" s="21">
        <v>44569</v>
      </c>
      <c r="E93">
        <v>462</v>
      </c>
      <c r="F93">
        <v>1136</v>
      </c>
      <c r="G93" t="s">
        <v>52</v>
      </c>
      <c r="H93">
        <v>752</v>
      </c>
    </row>
    <row r="94" spans="1:8" x14ac:dyDescent="0.25">
      <c r="A94">
        <v>68</v>
      </c>
      <c r="B94" t="s">
        <v>51</v>
      </c>
      <c r="C94" s="21">
        <v>44486</v>
      </c>
      <c r="D94" s="21">
        <v>44564</v>
      </c>
      <c r="E94">
        <v>298</v>
      </c>
      <c r="F94">
        <v>838</v>
      </c>
      <c r="G94" t="s">
        <v>45</v>
      </c>
      <c r="H94">
        <v>773</v>
      </c>
    </row>
    <row r="95" spans="1:8" x14ac:dyDescent="0.25">
      <c r="A95">
        <v>94</v>
      </c>
      <c r="B95" t="s">
        <v>44</v>
      </c>
      <c r="C95" s="21">
        <v>44490</v>
      </c>
      <c r="D95" s="21">
        <v>44565</v>
      </c>
      <c r="E95">
        <v>556</v>
      </c>
      <c r="F95">
        <v>1054</v>
      </c>
      <c r="G95" t="s">
        <v>45</v>
      </c>
      <c r="H95">
        <v>911</v>
      </c>
    </row>
    <row r="96" spans="1:8" x14ac:dyDescent="0.25">
      <c r="A96">
        <v>96</v>
      </c>
      <c r="B96" t="s">
        <v>51</v>
      </c>
      <c r="C96" s="21">
        <v>44537</v>
      </c>
      <c r="D96" s="21">
        <v>44565</v>
      </c>
      <c r="E96">
        <v>486</v>
      </c>
      <c r="F96">
        <v>1070</v>
      </c>
      <c r="G96" t="s">
        <v>52</v>
      </c>
      <c r="H96">
        <v>802</v>
      </c>
    </row>
    <row r="97" spans="1:8" x14ac:dyDescent="0.25">
      <c r="A97">
        <v>73</v>
      </c>
      <c r="B97" t="s">
        <v>48</v>
      </c>
      <c r="C97" s="21">
        <v>44486</v>
      </c>
      <c r="D97" s="21">
        <v>44570</v>
      </c>
      <c r="E97">
        <v>468</v>
      </c>
      <c r="F97">
        <v>1464</v>
      </c>
      <c r="G97" t="s">
        <v>45</v>
      </c>
      <c r="H97">
        <v>623</v>
      </c>
    </row>
    <row r="98" spans="1:8" x14ac:dyDescent="0.25">
      <c r="A98">
        <v>95</v>
      </c>
      <c r="B98" t="s">
        <v>51</v>
      </c>
      <c r="C98" s="21">
        <v>44534</v>
      </c>
      <c r="D98" s="21">
        <v>44561</v>
      </c>
      <c r="E98">
        <v>419</v>
      </c>
      <c r="F98">
        <v>876</v>
      </c>
      <c r="G98" t="s">
        <v>47</v>
      </c>
      <c r="H98">
        <v>1334</v>
      </c>
    </row>
    <row r="99" spans="1:8" x14ac:dyDescent="0.25">
      <c r="A99">
        <v>89</v>
      </c>
      <c r="B99" t="s">
        <v>44</v>
      </c>
      <c r="C99" s="21">
        <v>44510</v>
      </c>
      <c r="D99" s="21">
        <v>44563</v>
      </c>
      <c r="E99">
        <v>528</v>
      </c>
      <c r="F99">
        <v>1411</v>
      </c>
      <c r="G99" t="s">
        <v>49</v>
      </c>
      <c r="H99">
        <v>815</v>
      </c>
    </row>
    <row r="100" spans="1:8" x14ac:dyDescent="0.25">
      <c r="A100">
        <v>64</v>
      </c>
      <c r="B100" t="s">
        <v>44</v>
      </c>
      <c r="C100" s="21">
        <v>44537</v>
      </c>
      <c r="D100" s="21">
        <v>44571</v>
      </c>
      <c r="E100">
        <v>307</v>
      </c>
      <c r="F100">
        <v>849</v>
      </c>
      <c r="G100" t="s">
        <v>46</v>
      </c>
      <c r="H100">
        <v>1356</v>
      </c>
    </row>
    <row r="101" spans="1:8" x14ac:dyDescent="0.25">
      <c r="A101">
        <v>81</v>
      </c>
      <c r="B101" t="s">
        <v>51</v>
      </c>
      <c r="C101" s="21">
        <v>44502</v>
      </c>
      <c r="D101" s="21">
        <v>44569</v>
      </c>
      <c r="E101">
        <v>645</v>
      </c>
      <c r="F101">
        <v>1346</v>
      </c>
      <c r="G101" t="s">
        <v>49</v>
      </c>
      <c r="H101">
        <v>1411</v>
      </c>
    </row>
    <row r="102" spans="1:8" x14ac:dyDescent="0.25">
      <c r="A102">
        <v>65</v>
      </c>
      <c r="B102" t="s">
        <v>51</v>
      </c>
      <c r="C102" s="21">
        <v>44538</v>
      </c>
      <c r="D102" s="21">
        <v>44567</v>
      </c>
      <c r="E102">
        <v>315</v>
      </c>
      <c r="F102">
        <v>1275</v>
      </c>
      <c r="G102" t="s">
        <v>52</v>
      </c>
      <c r="H102">
        <v>1060</v>
      </c>
    </row>
    <row r="103" spans="1:8" x14ac:dyDescent="0.25">
      <c r="A103">
        <v>72</v>
      </c>
      <c r="B103" t="s">
        <v>51</v>
      </c>
      <c r="C103" s="21">
        <v>44536</v>
      </c>
      <c r="D103" s="21">
        <v>44565</v>
      </c>
      <c r="E103">
        <v>571</v>
      </c>
      <c r="F103">
        <v>963</v>
      </c>
      <c r="G103" t="s">
        <v>52</v>
      </c>
      <c r="H103">
        <v>1116</v>
      </c>
    </row>
    <row r="104" spans="1:8" x14ac:dyDescent="0.25">
      <c r="A104">
        <v>66</v>
      </c>
      <c r="B104" t="s">
        <v>51</v>
      </c>
      <c r="C104" s="21">
        <v>44506</v>
      </c>
      <c r="D104" s="21">
        <v>44571</v>
      </c>
      <c r="E104">
        <v>463</v>
      </c>
      <c r="F104">
        <v>1084</v>
      </c>
      <c r="G104" t="s">
        <v>47</v>
      </c>
      <c r="H104">
        <v>1207</v>
      </c>
    </row>
    <row r="105" spans="1:8" x14ac:dyDescent="0.25">
      <c r="A105">
        <v>70</v>
      </c>
      <c r="B105" t="s">
        <v>44</v>
      </c>
      <c r="C105" s="21">
        <v>44502</v>
      </c>
      <c r="D105" s="21">
        <v>44563</v>
      </c>
      <c r="E105">
        <v>314</v>
      </c>
      <c r="F105">
        <v>1239</v>
      </c>
      <c r="G105" t="s">
        <v>45</v>
      </c>
      <c r="H105">
        <v>610</v>
      </c>
    </row>
    <row r="106" spans="1:8" x14ac:dyDescent="0.25">
      <c r="A106">
        <v>99</v>
      </c>
      <c r="B106" t="s">
        <v>48</v>
      </c>
      <c r="C106" s="21">
        <v>44504</v>
      </c>
      <c r="D106" s="21">
        <v>44561</v>
      </c>
      <c r="E106">
        <v>550</v>
      </c>
      <c r="F106">
        <v>1302</v>
      </c>
      <c r="G106" t="s">
        <v>49</v>
      </c>
      <c r="H106">
        <v>690</v>
      </c>
    </row>
    <row r="107" spans="1:8" x14ac:dyDescent="0.25">
      <c r="A107">
        <v>87</v>
      </c>
      <c r="B107" t="s">
        <v>44</v>
      </c>
      <c r="C107" s="21">
        <v>44515</v>
      </c>
      <c r="D107" s="21">
        <v>44565</v>
      </c>
      <c r="E107">
        <v>478</v>
      </c>
      <c r="F107">
        <v>1023</v>
      </c>
      <c r="G107" t="s">
        <v>52</v>
      </c>
      <c r="H107">
        <v>1114</v>
      </c>
    </row>
    <row r="108" spans="1:8" x14ac:dyDescent="0.25">
      <c r="A108">
        <v>81</v>
      </c>
      <c r="B108" t="s">
        <v>44</v>
      </c>
      <c r="C108" s="21">
        <v>44538</v>
      </c>
      <c r="D108" s="21">
        <v>44565</v>
      </c>
      <c r="E108">
        <v>635</v>
      </c>
      <c r="F108">
        <v>803</v>
      </c>
      <c r="G108" t="s">
        <v>49</v>
      </c>
      <c r="H108">
        <v>819</v>
      </c>
    </row>
    <row r="109" spans="1:8" x14ac:dyDescent="0.25">
      <c r="A109">
        <v>99</v>
      </c>
      <c r="B109" t="s">
        <v>48</v>
      </c>
      <c r="C109" s="21">
        <v>44490</v>
      </c>
      <c r="D109" s="21">
        <v>44562</v>
      </c>
      <c r="E109">
        <v>446</v>
      </c>
      <c r="F109">
        <v>1217</v>
      </c>
      <c r="G109" t="s">
        <v>50</v>
      </c>
      <c r="H109">
        <v>1393</v>
      </c>
    </row>
    <row r="110" spans="1:8" x14ac:dyDescent="0.25">
      <c r="A110">
        <v>78</v>
      </c>
      <c r="B110" t="s">
        <v>48</v>
      </c>
      <c r="C110" s="21">
        <v>44511</v>
      </c>
      <c r="D110" s="21">
        <v>44566</v>
      </c>
      <c r="E110">
        <v>204</v>
      </c>
      <c r="F110">
        <v>948</v>
      </c>
      <c r="G110" t="s">
        <v>49</v>
      </c>
      <c r="H110">
        <v>1416</v>
      </c>
    </row>
    <row r="111" spans="1:8" x14ac:dyDescent="0.25">
      <c r="A111">
        <v>98</v>
      </c>
      <c r="B111" t="s">
        <v>48</v>
      </c>
      <c r="C111" s="21">
        <v>44516</v>
      </c>
      <c r="D111" s="21">
        <v>44565</v>
      </c>
      <c r="E111">
        <v>349</v>
      </c>
      <c r="F111">
        <v>1101</v>
      </c>
      <c r="G111" t="s">
        <v>47</v>
      </c>
      <c r="H111">
        <v>658</v>
      </c>
    </row>
    <row r="112" spans="1:8" x14ac:dyDescent="0.25">
      <c r="A112">
        <v>93</v>
      </c>
      <c r="B112" t="s">
        <v>48</v>
      </c>
      <c r="C112" s="21">
        <v>44504</v>
      </c>
      <c r="D112" s="21">
        <v>44568</v>
      </c>
      <c r="E112">
        <v>604</v>
      </c>
      <c r="F112">
        <v>1069</v>
      </c>
      <c r="G112" t="s">
        <v>47</v>
      </c>
      <c r="H112">
        <v>1443</v>
      </c>
    </row>
    <row r="113" spans="1:8" x14ac:dyDescent="0.25">
      <c r="A113">
        <v>84</v>
      </c>
      <c r="B113" t="s">
        <v>48</v>
      </c>
      <c r="C113" s="21">
        <v>44497</v>
      </c>
      <c r="D113" s="21">
        <v>44571</v>
      </c>
      <c r="E113">
        <v>556</v>
      </c>
      <c r="F113">
        <v>931</v>
      </c>
      <c r="G113" t="s">
        <v>47</v>
      </c>
      <c r="H113">
        <v>1213</v>
      </c>
    </row>
    <row r="114" spans="1:8" x14ac:dyDescent="0.25">
      <c r="A114">
        <v>76</v>
      </c>
      <c r="B114" t="s">
        <v>51</v>
      </c>
      <c r="C114" s="21">
        <v>44498</v>
      </c>
      <c r="D114" s="21">
        <v>44565</v>
      </c>
      <c r="E114">
        <v>643</v>
      </c>
      <c r="F114">
        <v>1150</v>
      </c>
      <c r="G114" t="s">
        <v>49</v>
      </c>
      <c r="H114">
        <v>1235</v>
      </c>
    </row>
    <row r="115" spans="1:8" x14ac:dyDescent="0.25">
      <c r="A115">
        <v>91</v>
      </c>
      <c r="B115" t="s">
        <v>51</v>
      </c>
      <c r="C115" s="21">
        <v>44507</v>
      </c>
      <c r="D115" s="21">
        <v>44570</v>
      </c>
      <c r="E115">
        <v>735</v>
      </c>
      <c r="F115">
        <v>842</v>
      </c>
      <c r="G115" t="s">
        <v>50</v>
      </c>
      <c r="H115">
        <v>1324</v>
      </c>
    </row>
    <row r="116" spans="1:8" x14ac:dyDescent="0.25">
      <c r="A116">
        <v>62</v>
      </c>
      <c r="B116" t="s">
        <v>51</v>
      </c>
      <c r="C116" s="21">
        <v>44484</v>
      </c>
      <c r="D116" s="21">
        <v>44568</v>
      </c>
      <c r="E116">
        <v>724</v>
      </c>
      <c r="F116">
        <v>1402</v>
      </c>
      <c r="G116" t="s">
        <v>50</v>
      </c>
      <c r="H116">
        <v>1394</v>
      </c>
    </row>
    <row r="117" spans="1:8" x14ac:dyDescent="0.25">
      <c r="A117">
        <v>88</v>
      </c>
      <c r="B117" t="s">
        <v>48</v>
      </c>
      <c r="C117" s="21">
        <v>44497</v>
      </c>
      <c r="D117" s="21">
        <v>44567</v>
      </c>
      <c r="E117">
        <v>215</v>
      </c>
      <c r="F117">
        <v>872</v>
      </c>
      <c r="G117" t="s">
        <v>49</v>
      </c>
      <c r="H117">
        <v>770</v>
      </c>
    </row>
    <row r="118" spans="1:8" x14ac:dyDescent="0.25">
      <c r="A118">
        <v>61</v>
      </c>
      <c r="B118" t="s">
        <v>44</v>
      </c>
      <c r="C118" s="21">
        <v>44538</v>
      </c>
      <c r="D118" s="21">
        <v>44569</v>
      </c>
      <c r="E118">
        <v>542</v>
      </c>
      <c r="F118">
        <v>937</v>
      </c>
      <c r="G118" t="s">
        <v>45</v>
      </c>
      <c r="H118">
        <v>1271</v>
      </c>
    </row>
    <row r="119" spans="1:8" x14ac:dyDescent="0.25">
      <c r="A119">
        <v>61</v>
      </c>
      <c r="B119" t="s">
        <v>44</v>
      </c>
      <c r="C119" s="21">
        <v>44487</v>
      </c>
      <c r="D119" s="21">
        <v>44568</v>
      </c>
      <c r="E119">
        <v>547</v>
      </c>
      <c r="F119">
        <v>1309</v>
      </c>
      <c r="G119" t="s">
        <v>46</v>
      </c>
      <c r="H119">
        <v>1003</v>
      </c>
    </row>
    <row r="120" spans="1:8" x14ac:dyDescent="0.25">
      <c r="A120">
        <v>80</v>
      </c>
      <c r="B120" t="s">
        <v>51</v>
      </c>
      <c r="C120" s="21">
        <v>44499</v>
      </c>
      <c r="D120" s="21">
        <v>44563</v>
      </c>
      <c r="E120">
        <v>638</v>
      </c>
      <c r="F120">
        <v>828</v>
      </c>
      <c r="G120" t="s">
        <v>52</v>
      </c>
      <c r="H120">
        <v>1465</v>
      </c>
    </row>
    <row r="121" spans="1:8" x14ac:dyDescent="0.25">
      <c r="A121">
        <v>76</v>
      </c>
      <c r="B121" t="s">
        <v>51</v>
      </c>
      <c r="C121" s="21">
        <v>44500</v>
      </c>
      <c r="D121" s="21">
        <v>44568</v>
      </c>
      <c r="E121">
        <v>493</v>
      </c>
      <c r="F121">
        <v>1406</v>
      </c>
      <c r="G121" t="s">
        <v>49</v>
      </c>
      <c r="H121">
        <v>612</v>
      </c>
    </row>
    <row r="122" spans="1:8" x14ac:dyDescent="0.25">
      <c r="A122">
        <v>62</v>
      </c>
      <c r="B122" t="s">
        <v>48</v>
      </c>
      <c r="C122" s="21">
        <v>44508</v>
      </c>
      <c r="D122" s="21">
        <v>44563</v>
      </c>
      <c r="E122">
        <v>318</v>
      </c>
      <c r="F122">
        <v>996</v>
      </c>
      <c r="G122" t="s">
        <v>47</v>
      </c>
      <c r="H122">
        <v>1123</v>
      </c>
    </row>
    <row r="123" spans="1:8" x14ac:dyDescent="0.25">
      <c r="A123">
        <v>69</v>
      </c>
      <c r="B123" t="s">
        <v>44</v>
      </c>
      <c r="C123" s="21">
        <v>44502</v>
      </c>
      <c r="D123" s="21">
        <v>44568</v>
      </c>
      <c r="E123">
        <v>376</v>
      </c>
      <c r="F123">
        <v>1084</v>
      </c>
      <c r="G123" t="s">
        <v>52</v>
      </c>
      <c r="H123">
        <v>1013</v>
      </c>
    </row>
    <row r="124" spans="1:8" x14ac:dyDescent="0.25">
      <c r="A124">
        <v>65</v>
      </c>
      <c r="B124" t="s">
        <v>48</v>
      </c>
      <c r="C124" s="21">
        <v>44516</v>
      </c>
      <c r="D124" s="21">
        <v>44571</v>
      </c>
      <c r="E124">
        <v>486</v>
      </c>
      <c r="F124">
        <v>923</v>
      </c>
      <c r="G124" t="s">
        <v>47</v>
      </c>
      <c r="H124">
        <v>894</v>
      </c>
    </row>
    <row r="125" spans="1:8" x14ac:dyDescent="0.25">
      <c r="A125">
        <v>65</v>
      </c>
      <c r="B125" t="s">
        <v>44</v>
      </c>
      <c r="C125" s="21">
        <v>44512</v>
      </c>
      <c r="D125" s="21">
        <v>44562</v>
      </c>
      <c r="E125">
        <v>590</v>
      </c>
      <c r="F125">
        <v>846</v>
      </c>
      <c r="G125" t="s">
        <v>50</v>
      </c>
      <c r="H125">
        <v>1057</v>
      </c>
    </row>
    <row r="126" spans="1:8" x14ac:dyDescent="0.25">
      <c r="A126">
        <v>80</v>
      </c>
      <c r="B126" t="s">
        <v>48</v>
      </c>
      <c r="C126" s="21">
        <v>44498</v>
      </c>
      <c r="D126" s="21">
        <v>44561</v>
      </c>
      <c r="E126">
        <v>737</v>
      </c>
      <c r="F126">
        <v>1027</v>
      </c>
      <c r="G126" t="s">
        <v>49</v>
      </c>
      <c r="H126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Analysis</vt:lpstr>
      <vt:lpstr>Dashboard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Qowiyy Oyesiji</dc:creator>
  <cp:lastModifiedBy>Qowiyy Oyesiji</cp:lastModifiedBy>
  <dcterms:created xsi:type="dcterms:W3CDTF">2024-01-11T10:09:07Z</dcterms:created>
  <dcterms:modified xsi:type="dcterms:W3CDTF">2026-02-28T12:02:02Z</dcterms:modified>
</cp:coreProperties>
</file>